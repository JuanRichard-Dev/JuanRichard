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incipal" sheetId="1" r:id="rId4"/>
    <sheet state="visible" name="Absenteísmo" sheetId="2" r:id="rId5"/>
    <sheet state="visible" name="Saúde Mental" sheetId="3" r:id="rId6"/>
  </sheets>
  <definedNames>
    <definedName hidden="1" localSheetId="0" name="_xlnm._FilterDatabase">Principal!$A$1:$Q$1</definedName>
    <definedName hidden="1" localSheetId="1" name="_xlnm._FilterDatabase">'Absenteísmo'!$A$1:$N$19</definedName>
    <definedName hidden="1" localSheetId="2" name="_xlnm._FilterDatabase">'Saúde Mental'!$B$12</definedName>
  </definedNames>
  <calcPr/>
  <extLst>
    <ext uri="GoogleSheetsCustomDataVersion2">
      <go:sheetsCustomData xmlns:go="http://customooxmlschemas.google.com/" r:id="rId7" roundtripDataChecksum="uT2UfnNL/zbw/TTxPVo5aWWeTn+dL72m8QDa+eGRRmE="/>
    </ext>
  </extLst>
</workbook>
</file>

<file path=xl/sharedStrings.xml><?xml version="1.0" encoding="utf-8"?>
<sst xmlns="http://schemas.openxmlformats.org/spreadsheetml/2006/main" count="145" uniqueCount="97">
  <si>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</si>
  <si>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</si>
  <si>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</si>
  <si>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</si>
  <si>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</si>
  <si>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</si>
  <si>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</si>
  <si>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</si>
  <si>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</si>
  <si>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</si>
  <si>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</si>
  <si>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</si>
  <si>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</t>
  </si>
  <si>
    <t>Exames periódicos (acumulado do ano - %)</t>
  </si>
  <si>
    <t>Exames periódicos (mensal - faltas / não agendamento - %)</t>
  </si>
  <si>
    <t>Exames periódicos (mensal)</t>
  </si>
  <si>
    <t>Exames admissionais (mensal)</t>
  </si>
  <si>
    <t>Exames demissionais (mensal)</t>
  </si>
  <si>
    <t>Exames de mudança de função (mensal)</t>
  </si>
  <si>
    <t>Exames de Retorno ao Trabalho (mensal)</t>
  </si>
  <si>
    <t>Afastamentos ativos - total</t>
  </si>
  <si>
    <t>x</t>
  </si>
  <si>
    <t>Afastamentos ativos - B2BN</t>
  </si>
  <si>
    <t>Afastamentos ativos - B2BF</t>
  </si>
  <si>
    <t>Afastamentos ativos - SF</t>
  </si>
  <si>
    <t>Afastamentos ativos - SITE</t>
  </si>
  <si>
    <t>Afastamentos ativos - OUTROS</t>
  </si>
  <si>
    <t>Aposentados afastados</t>
  </si>
  <si>
    <t>Limbo Previdenciário total</t>
  </si>
  <si>
    <t>Em Reabilitação  pelo INSS</t>
  </si>
  <si>
    <t>Aposentados por invalidez</t>
  </si>
  <si>
    <t>Afastamentos ativos por motivos Ortopédicos</t>
  </si>
  <si>
    <t>Afastamentos ativos por motivos Clínicos</t>
  </si>
  <si>
    <t>Afastamentos ativos por motivos Psiquiátricos</t>
  </si>
  <si>
    <t>Afastamentos ativos por outros motivos</t>
  </si>
  <si>
    <t>Afastamentos B-91 (mensal - nexo ocupacional)</t>
  </si>
  <si>
    <t>Atendimento médico</t>
  </si>
  <si>
    <t>Atendimento de enfermagem</t>
  </si>
  <si>
    <t xml:space="preserve">Atendimento fisioterápico total </t>
  </si>
  <si>
    <t>Atendimento fisioterápico horista</t>
  </si>
  <si>
    <t>Atendimento fisioterápico mensalista</t>
  </si>
  <si>
    <t>CAT (Comunicado de Acidente de Trabalho)</t>
  </si>
  <si>
    <t>Saídas de ambulância (urgência/emergência)</t>
  </si>
  <si>
    <t>Posto com mais afastamentos - 1 lugar / quantidade - Ativos+limbo+reabilitados (nexo causal)</t>
  </si>
  <si>
    <t>B2BN/OPF/MEP1 - OPERADOR DE EMPILHADEIRA - 5</t>
  </si>
  <si>
    <t>B2BN/OPF/MEP1 - OPERADOR DE EMPILHADEIRA - 6</t>
  </si>
  <si>
    <t>B2BN/OPL1 - OPERADOR DE ASSEMBLAGEM II - 4</t>
  </si>
  <si>
    <t>B2BN/OPF/MEP1 - OPERADOR DE EMPILHADEIRA - 2</t>
  </si>
  <si>
    <t>Posto com mais afastamentos - 2 lugar / quantidade - Ativos+limbo+reabilitados (nexo causal)</t>
  </si>
  <si>
    <t>B2BN/R - OPERADOR FABRICAÇÃO DE BANDAS III U - 4</t>
  </si>
  <si>
    <t>B2BN/OPL1 - OPERADOR DE ASSEMBLAGEM II - 5</t>
  </si>
  <si>
    <t>B2BF/OP/Q - OPERADOR DE PREPARAÇÃO I - 3</t>
  </si>
  <si>
    <t>SF/SC/MP - OPERADOR DE LOGISTICA II - 2</t>
  </si>
  <si>
    <t>B2BF/OP/Q - OPERADOR DE PREP QUENTE I - 3</t>
  </si>
  <si>
    <t>Posto com mais afastamentos - 3 lugar / quantidade - Ativos+limbo+reabilitados (nexo causal)</t>
  </si>
  <si>
    <t>B2BF/OCF/OCF2 - OPERADOR DE ASSEMBLAGEM II - 3</t>
  </si>
  <si>
    <t>B2BN/OPL5 - OPERADOR DE ASSEMBLAGEM II - 5</t>
  </si>
  <si>
    <t>B2BN/OPF/MEP1 - OPERADOR DE EMPILHADEIRA - 3</t>
  </si>
  <si>
    <t>B2BF/OCF - SUPERVISOR DE PRODUCAO - 1</t>
  </si>
  <si>
    <t>Posto com mais afastamentos - 4 lugar / quantidade - Ativos+limbo+reabilitados (nexo causal)</t>
  </si>
  <si>
    <t>B2BF/OP/MEP - OPERADOR DE EMPILHADEIRA - 3</t>
  </si>
  <si>
    <t>B2BN/R - OPERADOR FABRICAÇÃO DE BANDAS III U - 5</t>
  </si>
  <si>
    <t>B2BN/OPL2 - OPERADOR DE ASSEMBLAGEM II - 3</t>
  </si>
  <si>
    <t>B2BN/OPF - SUPERVISOR DE PRODUCAO - 1</t>
  </si>
  <si>
    <t>B2BN/OPL4 - OPERADOR CÉLULA  - 3</t>
  </si>
  <si>
    <t>Posto com mais afastamentos - 5 lugar / quantidade - Ativos+limbo+reabilitados (nexo causal)</t>
  </si>
  <si>
    <t>B2BF/OV/CTL - CONTROLADOR DE QUALIDADE ASPECTO IV - 3</t>
  </si>
  <si>
    <t>B2BF/OCF/OCF2 - OPERADOR DE ASSEMBLAGEM II - 4</t>
  </si>
  <si>
    <t>B2BF/OCF/OCF2 - OPERADOR DE ASSEMBLAGEM II - 1</t>
  </si>
  <si>
    <t>B2BN/OPL7 - POLIVALENTE - 3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</si>
  <si>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</si>
  <si>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</si>
  <si>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</si>
  <si>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</si>
  <si>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</si>
  <si>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</si>
  <si>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</si>
  <si>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</si>
  <si>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</si>
  <si>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</si>
  <si>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</si>
  <si>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</si>
  <si>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Atestados (dias perdidos) B2BN</t>
  </si>
  <si>
    <t>causas ortopédicas</t>
  </si>
  <si>
    <t>causas psiquiátricas</t>
  </si>
  <si>
    <t>causas clínicas</t>
  </si>
  <si>
    <t xml:space="preserve">homens </t>
  </si>
  <si>
    <t xml:space="preserve">mulheres </t>
  </si>
  <si>
    <t>Atestados (dias perdidos) B2BF</t>
  </si>
  <si>
    <t>Atestados (dias perdidos) SF</t>
  </si>
  <si>
    <t xml:space="preserve">MARÇO </t>
  </si>
  <si>
    <t>Questionário SRQ-20 alterado no periódico (total)</t>
  </si>
  <si>
    <t>B2BN</t>
  </si>
  <si>
    <t>B2BF</t>
  </si>
  <si>
    <t>SF</t>
  </si>
  <si>
    <t>SITE</t>
  </si>
  <si>
    <t>OUTROS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</si>
</sst>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b/>
      <sz val="11.0"/>
      <color theme="1"/>
      <name val="Calibri"/>
    </font>
    <font>
      <b/>
      <sz val="9.0"/>
      <color theme="1"/>
      <name val="Calibri"/>
    </font>
    <font>
      <b/>
      <sz val="11.0"/>
      <color rgb="FFFFFFFF"/>
      <name val="Calibri"/>
    </font>
    <font>
      <u/>
      <sz val="11.0"/>
      <color theme="1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548135"/>
        <bgColor rgb="FF548135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  <fill>
      <patternFill patternType="solid">
        <fgColor rgb="FF7F7F7F"/>
        <bgColor rgb="FF7F7F7F"/>
      </patternFill>
    </fill>
    <fill>
      <patternFill patternType="solid">
        <fgColor rgb="FFAEABAB"/>
        <bgColor rgb="FFAEABAB"/>
      </patternFill>
    </fill>
    <fill>
      <patternFill patternType="solid">
        <fgColor rgb="FFECECEC"/>
        <bgColor rgb="FFECECEC"/>
      </patternFill>
    </fill>
    <fill>
      <patternFill patternType="solid">
        <fgColor rgb="FFAEAAAA"/>
        <bgColor rgb="FFAEAAAA"/>
      </patternFill>
    </fill>
    <fill>
      <patternFill patternType="solid">
        <fgColor rgb="FFDADADA"/>
        <bgColor rgb="FFDADADA"/>
      </patternFill>
    </fill>
    <fill>
      <patternFill patternType="solid">
        <fgColor rgb="FFBFBFBF"/>
        <bgColor rgb="FFBFBFBF"/>
      </patternFill>
    </fill>
    <fill>
      <patternFill patternType="solid">
        <fgColor rgb="FFFFE598"/>
        <bgColor rgb="FFFFE598"/>
      </patternFill>
    </fill>
  </fills>
  <borders count="5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vertical="center"/>
    </xf>
    <xf borderId="2" fillId="3" fontId="1" numFmtId="0" xfId="0" applyBorder="1" applyFill="1" applyFont="1"/>
    <xf borderId="2" fillId="3" fontId="3" numFmtId="10" xfId="0" applyAlignment="1" applyBorder="1" applyFont="1" applyNumberFormat="1">
      <alignment horizontal="center" vertical="center"/>
    </xf>
    <xf borderId="0" fillId="0" fontId="1" numFmtId="10" xfId="0" applyFont="1" applyNumberFormat="1"/>
    <xf borderId="2" fillId="3" fontId="3" numFmtId="10" xfId="0" applyAlignment="1" applyBorder="1" applyFont="1" applyNumberFormat="1">
      <alignment horizontal="center" readingOrder="0" vertical="center"/>
    </xf>
    <xf borderId="2" fillId="3" fontId="3" numFmtId="9" xfId="0" applyAlignment="1" applyBorder="1" applyFont="1" applyNumberFormat="1">
      <alignment horizontal="center" vertical="center"/>
    </xf>
    <xf borderId="2" fillId="3" fontId="3" numFmtId="0" xfId="0" applyAlignment="1" applyBorder="1" applyFont="1">
      <alignment horizontal="center" readingOrder="0" vertical="center"/>
    </xf>
    <xf borderId="2" fillId="3" fontId="3" numFmtId="0" xfId="0" applyAlignment="1" applyBorder="1" applyFont="1">
      <alignment horizontal="center" vertical="center"/>
    </xf>
    <xf borderId="2" fillId="4" fontId="1" numFmtId="0" xfId="0" applyBorder="1" applyFill="1" applyFont="1"/>
    <xf borderId="2" fillId="4" fontId="3" numFmtId="0" xfId="0" applyAlignment="1" applyBorder="1" applyFont="1">
      <alignment horizontal="center" vertical="center"/>
    </xf>
    <xf borderId="2" fillId="4" fontId="3" numFmtId="0" xfId="0" applyAlignment="1" applyBorder="1" applyFont="1">
      <alignment horizontal="center" readingOrder="0" vertical="center"/>
    </xf>
    <xf borderId="2" fillId="5" fontId="1" numFmtId="0" xfId="0" applyBorder="1" applyFill="1" applyFont="1"/>
    <xf borderId="2" fillId="5" fontId="3" numFmtId="0" xfId="0" applyAlignment="1" applyBorder="1" applyFont="1">
      <alignment horizontal="center" vertical="center"/>
    </xf>
    <xf borderId="2" fillId="6" fontId="1" numFmtId="0" xfId="0" applyAlignment="1" applyBorder="1" applyFill="1" applyFont="1">
      <alignment shrinkToFit="0" vertical="center" wrapText="1"/>
    </xf>
    <xf borderId="2" fillId="6" fontId="3" numFmtId="0" xfId="0" applyAlignment="1" applyBorder="1" applyFont="1">
      <alignment horizontal="center" shrinkToFit="0" vertical="center" wrapText="1"/>
    </xf>
    <xf borderId="2" fillId="6" fontId="3" numFmtId="0" xfId="0" applyAlignment="1" applyBorder="1" applyFont="1">
      <alignment horizontal="center" vertical="center"/>
    </xf>
    <xf borderId="2" fillId="6" fontId="4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1" numFmtId="0" xfId="0" applyAlignment="1" applyFont="1">
      <alignment horizontal="center"/>
    </xf>
    <xf borderId="3" fillId="6" fontId="3" numFmtId="0" xfId="0" applyAlignment="1" applyBorder="1" applyFont="1">
      <alignment horizontal="center" shrinkToFit="0" vertical="center" wrapText="1"/>
    </xf>
    <xf borderId="3" fillId="6" fontId="3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left" shrinkToFit="0" vertical="center" wrapText="1"/>
    </xf>
    <xf borderId="2" fillId="7" fontId="1" numFmtId="0" xfId="0" applyBorder="1" applyFill="1" applyFont="1"/>
    <xf borderId="2" fillId="8" fontId="3" numFmtId="0" xfId="0" applyAlignment="1" applyBorder="1" applyFill="1" applyFont="1">
      <alignment horizontal="center" vertical="center"/>
    </xf>
    <xf borderId="2" fillId="7" fontId="3" numFmtId="0" xfId="0" applyAlignment="1" applyBorder="1" applyFont="1">
      <alignment horizontal="center" vertical="center"/>
    </xf>
    <xf borderId="2" fillId="9" fontId="1" numFmtId="0" xfId="0" applyBorder="1" applyFill="1" applyFont="1"/>
    <xf borderId="2" fillId="8" fontId="2" numFmtId="0" xfId="0" applyAlignment="1" applyBorder="1" applyFont="1">
      <alignment horizontal="center" vertical="center"/>
    </xf>
    <xf borderId="2" fillId="10" fontId="5" numFmtId="0" xfId="0" applyAlignment="1" applyBorder="1" applyFill="1" applyFont="1">
      <alignment horizontal="center"/>
    </xf>
    <xf borderId="2" fillId="7" fontId="1" numFmtId="0" xfId="0" applyAlignment="1" applyBorder="1" applyFont="1">
      <alignment horizontal="center" vertical="center"/>
    </xf>
    <xf borderId="4" fillId="10" fontId="5" numFmtId="0" xfId="0" applyAlignment="1" applyBorder="1" applyFont="1">
      <alignment horizontal="center"/>
    </xf>
    <xf borderId="2" fillId="11" fontId="1" numFmtId="0" xfId="0" applyBorder="1" applyFill="1" applyFont="1"/>
    <xf borderId="2" fillId="12" fontId="1" numFmtId="0" xfId="0" applyBorder="1" applyFill="1" applyFont="1"/>
    <xf borderId="2" fillId="13" fontId="3" numFmtId="0" xfId="0" applyBorder="1" applyFill="1" applyFont="1"/>
    <xf borderId="2" fillId="13" fontId="3" numFmtId="0" xfId="0" applyAlignment="1" applyBorder="1" applyFont="1">
      <alignment horizontal="center"/>
    </xf>
    <xf borderId="2" fillId="13" fontId="1" numFmtId="0" xfId="0" applyAlignment="1" applyBorder="1" applyFont="1">
      <alignment horizontal="center"/>
    </xf>
    <xf borderId="2" fillId="13" fontId="1" numFmtId="0" xfId="0" applyBorder="1" applyFont="1"/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57"/>
    <col customWidth="1" min="2" max="2" width="19.71"/>
    <col customWidth="1" min="3" max="3" width="16.14"/>
    <col customWidth="1" min="4" max="4" width="19.0"/>
    <col customWidth="1" min="5" max="5" width="21.86"/>
    <col customWidth="1" min="6" max="7" width="19.43"/>
    <col customWidth="1" min="8" max="8" width="20.86"/>
    <col customWidth="1" min="9" max="9" width="21.86"/>
    <col customWidth="1" min="10" max="10" width="20.14"/>
    <col customWidth="1" min="11" max="12" width="20.86"/>
    <col customWidth="1" min="13" max="13" width="21.14"/>
    <col customWidth="1" min="14" max="14" width="13.14"/>
    <col customWidth="1" min="15" max="26" width="9.0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>
      <c r="A2" s="3" t="s">
        <v>13</v>
      </c>
      <c r="B2" s="4">
        <v>0.0</v>
      </c>
      <c r="C2" s="4">
        <v>0.0697</v>
      </c>
      <c r="D2" s="4">
        <v>0.1628</v>
      </c>
      <c r="E2" s="4">
        <v>0.2439</v>
      </c>
      <c r="F2" s="4">
        <v>0.3289</v>
      </c>
      <c r="G2" s="4">
        <v>0.4087</v>
      </c>
      <c r="H2" s="4"/>
      <c r="I2" s="4"/>
      <c r="J2" s="4"/>
      <c r="K2" s="4"/>
      <c r="L2" s="4"/>
      <c r="M2" s="4"/>
      <c r="N2" s="4"/>
      <c r="O2" s="5"/>
    </row>
    <row r="3">
      <c r="A3" s="3" t="s">
        <v>14</v>
      </c>
      <c r="B3" s="4">
        <v>0.0</v>
      </c>
      <c r="C3" s="4">
        <v>0.0217</v>
      </c>
      <c r="D3" s="6">
        <v>0.089</v>
      </c>
      <c r="E3" s="4">
        <v>0.189</v>
      </c>
      <c r="F3" s="4">
        <v>0.2908</v>
      </c>
      <c r="G3" s="4">
        <v>0.366</v>
      </c>
      <c r="H3" s="4"/>
      <c r="I3" s="7"/>
      <c r="J3" s="4"/>
      <c r="K3" s="4"/>
      <c r="L3" s="4"/>
      <c r="M3" s="4"/>
      <c r="N3" s="4"/>
      <c r="O3" s="5"/>
    </row>
    <row r="4">
      <c r="A4" s="3" t="s">
        <v>15</v>
      </c>
      <c r="B4" s="8">
        <v>200.0</v>
      </c>
      <c r="C4" s="8">
        <v>100.0</v>
      </c>
      <c r="D4" s="9">
        <v>179.0</v>
      </c>
      <c r="E4" s="9">
        <v>176.0</v>
      </c>
      <c r="F4" s="9">
        <v>211.0</v>
      </c>
      <c r="G4" s="9">
        <v>227.0</v>
      </c>
      <c r="H4" s="9"/>
      <c r="I4" s="9"/>
      <c r="J4" s="9"/>
      <c r="K4" s="9"/>
      <c r="L4" s="9"/>
      <c r="M4" s="9"/>
      <c r="N4" s="9">
        <f t="shared" ref="N4:N8" si="1">SUM(B4:M4)</f>
        <v>1093</v>
      </c>
    </row>
    <row r="5">
      <c r="A5" s="3" t="s">
        <v>16</v>
      </c>
      <c r="B5" s="9">
        <v>44.0</v>
      </c>
      <c r="C5" s="9">
        <v>37.0</v>
      </c>
      <c r="D5" s="9">
        <v>79.0</v>
      </c>
      <c r="E5" s="9">
        <v>36.0</v>
      </c>
      <c r="F5" s="9">
        <v>59.0</v>
      </c>
      <c r="G5" s="9">
        <v>52.0</v>
      </c>
      <c r="H5" s="9"/>
      <c r="I5" s="9"/>
      <c r="J5" s="9"/>
      <c r="K5" s="9"/>
      <c r="L5" s="9"/>
      <c r="M5" s="9"/>
      <c r="N5" s="9">
        <f t="shared" si="1"/>
        <v>307</v>
      </c>
    </row>
    <row r="6">
      <c r="A6" s="3" t="s">
        <v>17</v>
      </c>
      <c r="B6" s="9">
        <v>25.0</v>
      </c>
      <c r="C6" s="9">
        <v>44.0</v>
      </c>
      <c r="D6" s="9">
        <v>43.0</v>
      </c>
      <c r="E6" s="9">
        <v>32.0</v>
      </c>
      <c r="F6" s="9">
        <v>29.0</v>
      </c>
      <c r="G6" s="9">
        <v>35.0</v>
      </c>
      <c r="H6" s="9"/>
      <c r="I6" s="9"/>
      <c r="J6" s="9"/>
      <c r="K6" s="9"/>
      <c r="L6" s="9"/>
      <c r="M6" s="9"/>
      <c r="N6" s="9">
        <f t="shared" si="1"/>
        <v>208</v>
      </c>
    </row>
    <row r="7">
      <c r="A7" s="3" t="s">
        <v>18</v>
      </c>
      <c r="B7" s="9">
        <v>2.0</v>
      </c>
      <c r="C7" s="9">
        <v>2.0</v>
      </c>
      <c r="D7" s="9">
        <v>9.0</v>
      </c>
      <c r="E7" s="9">
        <v>1.0</v>
      </c>
      <c r="F7" s="9">
        <v>5.0</v>
      </c>
      <c r="G7" s="9">
        <v>1.0</v>
      </c>
      <c r="H7" s="9"/>
      <c r="I7" s="9"/>
      <c r="J7" s="9"/>
      <c r="K7" s="9"/>
      <c r="L7" s="9"/>
      <c r="M7" s="9"/>
      <c r="N7" s="9">
        <f t="shared" si="1"/>
        <v>20</v>
      </c>
    </row>
    <row r="8">
      <c r="A8" s="3" t="s">
        <v>19</v>
      </c>
      <c r="B8" s="9">
        <v>18.0</v>
      </c>
      <c r="C8" s="9">
        <v>4.0</v>
      </c>
      <c r="D8" s="9">
        <v>8.0</v>
      </c>
      <c r="E8" s="9">
        <v>9.0</v>
      </c>
      <c r="F8" s="9">
        <v>15.0</v>
      </c>
      <c r="G8" s="9">
        <v>15.0</v>
      </c>
      <c r="H8" s="9"/>
      <c r="I8" s="9"/>
      <c r="J8" s="9"/>
      <c r="K8" s="9"/>
      <c r="L8" s="9"/>
      <c r="M8" s="9"/>
      <c r="N8" s="9">
        <f t="shared" si="1"/>
        <v>69</v>
      </c>
    </row>
    <row r="9">
      <c r="A9" s="10" t="s">
        <v>20</v>
      </c>
      <c r="B9" s="11">
        <v>116.0</v>
      </c>
      <c r="C9" s="12">
        <v>300.0</v>
      </c>
      <c r="D9" s="11">
        <v>107.0</v>
      </c>
      <c r="E9" s="11">
        <v>92.0</v>
      </c>
      <c r="F9" s="11">
        <v>93.0</v>
      </c>
      <c r="G9" s="11">
        <v>94.0</v>
      </c>
      <c r="H9" s="11"/>
      <c r="I9" s="11"/>
      <c r="J9" s="11"/>
      <c r="K9" s="11"/>
      <c r="L9" s="11"/>
      <c r="M9" s="11"/>
      <c r="N9" s="11" t="s">
        <v>21</v>
      </c>
    </row>
    <row r="10">
      <c r="A10" s="10" t="s">
        <v>22</v>
      </c>
      <c r="B10" s="11">
        <v>59.0</v>
      </c>
      <c r="C10" s="12">
        <v>500.0</v>
      </c>
      <c r="D10" s="11">
        <v>53.0</v>
      </c>
      <c r="E10" s="11">
        <v>45.0</v>
      </c>
      <c r="F10" s="11">
        <v>46.0</v>
      </c>
      <c r="G10" s="11">
        <v>42.0</v>
      </c>
      <c r="H10" s="11"/>
      <c r="I10" s="11"/>
      <c r="J10" s="11"/>
      <c r="K10" s="11"/>
      <c r="L10" s="11"/>
      <c r="M10" s="11"/>
      <c r="N10" s="11" t="s">
        <v>21</v>
      </c>
    </row>
    <row r="11">
      <c r="A11" s="10" t="s">
        <v>23</v>
      </c>
      <c r="B11" s="11">
        <v>30.0</v>
      </c>
      <c r="C11" s="11">
        <v>28.0</v>
      </c>
      <c r="D11" s="11">
        <v>24.0</v>
      </c>
      <c r="E11" s="11">
        <v>21.0</v>
      </c>
      <c r="F11" s="11">
        <v>21.0</v>
      </c>
      <c r="G11" s="11">
        <v>21.0</v>
      </c>
      <c r="H11" s="11"/>
      <c r="I11" s="11"/>
      <c r="J11" s="11"/>
      <c r="K11" s="11"/>
      <c r="L11" s="11"/>
      <c r="M11" s="11"/>
      <c r="N11" s="11" t="s">
        <v>21</v>
      </c>
    </row>
    <row r="12">
      <c r="A12" s="10" t="s">
        <v>24</v>
      </c>
      <c r="B12" s="11">
        <v>24.0</v>
      </c>
      <c r="C12" s="11">
        <v>27.0</v>
      </c>
      <c r="D12" s="11">
        <v>26.0</v>
      </c>
      <c r="E12" s="11">
        <v>21.0</v>
      </c>
      <c r="F12" s="11">
        <v>20.0</v>
      </c>
      <c r="G12" s="11">
        <v>24.0</v>
      </c>
      <c r="H12" s="11"/>
      <c r="I12" s="11"/>
      <c r="J12" s="11"/>
      <c r="K12" s="11"/>
      <c r="L12" s="11"/>
      <c r="M12" s="11"/>
      <c r="N12" s="11" t="s">
        <v>21</v>
      </c>
    </row>
    <row r="13">
      <c r="A13" s="10" t="s">
        <v>25</v>
      </c>
      <c r="B13" s="11">
        <v>5.0</v>
      </c>
      <c r="C13" s="11">
        <v>3.0</v>
      </c>
      <c r="D13" s="11">
        <v>3.0</v>
      </c>
      <c r="E13" s="11">
        <v>4.0</v>
      </c>
      <c r="F13" s="11">
        <v>4.0</v>
      </c>
      <c r="G13" s="11">
        <v>6.0</v>
      </c>
      <c r="H13" s="11"/>
      <c r="I13" s="11"/>
      <c r="J13" s="11"/>
      <c r="K13" s="11"/>
      <c r="L13" s="11"/>
      <c r="M13" s="11"/>
      <c r="N13" s="11" t="s">
        <v>21</v>
      </c>
    </row>
    <row r="14">
      <c r="A14" s="10" t="s">
        <v>26</v>
      </c>
      <c r="B14" s="11">
        <v>0.0</v>
      </c>
      <c r="C14" s="11">
        <v>1.0</v>
      </c>
      <c r="D14" s="11">
        <v>1.0</v>
      </c>
      <c r="E14" s="11">
        <v>1.0</v>
      </c>
      <c r="F14" s="11">
        <v>2.0</v>
      </c>
      <c r="G14" s="11">
        <v>1.0</v>
      </c>
      <c r="H14" s="11"/>
      <c r="I14" s="11"/>
      <c r="J14" s="11"/>
      <c r="K14" s="11"/>
      <c r="L14" s="11"/>
      <c r="M14" s="11"/>
      <c r="N14" s="11" t="s">
        <v>21</v>
      </c>
    </row>
    <row r="15">
      <c r="A15" s="10" t="s">
        <v>27</v>
      </c>
      <c r="B15" s="11">
        <v>18.0</v>
      </c>
      <c r="C15" s="11">
        <v>17.0</v>
      </c>
      <c r="D15" s="11">
        <v>17.0</v>
      </c>
      <c r="E15" s="11">
        <v>16.0</v>
      </c>
      <c r="F15" s="11">
        <v>13.0</v>
      </c>
      <c r="G15" s="11">
        <v>14.0</v>
      </c>
      <c r="H15" s="11"/>
      <c r="I15" s="11"/>
      <c r="J15" s="11"/>
      <c r="K15" s="11"/>
      <c r="L15" s="11"/>
      <c r="M15" s="11"/>
      <c r="N15" s="11"/>
    </row>
    <row r="16">
      <c r="A16" s="10" t="s">
        <v>28</v>
      </c>
      <c r="B16" s="11">
        <v>36.0</v>
      </c>
      <c r="C16" s="11">
        <v>37.0</v>
      </c>
      <c r="D16" s="11">
        <v>40.0</v>
      </c>
      <c r="E16" s="11">
        <v>57.0</v>
      </c>
      <c r="F16" s="11">
        <v>57.0</v>
      </c>
      <c r="G16" s="11">
        <v>53.0</v>
      </c>
      <c r="H16" s="11"/>
      <c r="I16" s="11"/>
      <c r="J16" s="11"/>
      <c r="K16" s="11"/>
      <c r="L16" s="11"/>
      <c r="M16" s="11"/>
      <c r="N16" s="11" t="s">
        <v>21</v>
      </c>
    </row>
    <row r="17">
      <c r="A17" s="10" t="s">
        <v>29</v>
      </c>
      <c r="B17" s="11">
        <v>73.0</v>
      </c>
      <c r="C17" s="11">
        <v>76.0</v>
      </c>
      <c r="D17" s="11">
        <v>81.0</v>
      </c>
      <c r="E17" s="11">
        <v>82.0</v>
      </c>
      <c r="F17" s="11">
        <v>81.0</v>
      </c>
      <c r="G17" s="11">
        <v>81.0</v>
      </c>
      <c r="H17" s="11"/>
      <c r="I17" s="11"/>
      <c r="J17" s="11"/>
      <c r="K17" s="11"/>
      <c r="L17" s="11"/>
      <c r="M17" s="11"/>
      <c r="N17" s="11" t="s">
        <v>21</v>
      </c>
    </row>
    <row r="18">
      <c r="A18" s="10" t="s">
        <v>30</v>
      </c>
      <c r="B18" s="11">
        <v>112.0</v>
      </c>
      <c r="C18" s="11">
        <v>112.0</v>
      </c>
      <c r="D18" s="11">
        <v>112.0</v>
      </c>
      <c r="E18" s="11">
        <v>113.0</v>
      </c>
      <c r="F18" s="11">
        <v>114.0</v>
      </c>
      <c r="G18" s="11">
        <v>114.0</v>
      </c>
      <c r="H18" s="11"/>
      <c r="I18" s="11"/>
      <c r="J18" s="11"/>
      <c r="K18" s="11"/>
      <c r="L18" s="11"/>
      <c r="M18" s="11"/>
      <c r="N18" s="11" t="s">
        <v>21</v>
      </c>
    </row>
    <row r="19">
      <c r="A19" s="10" t="s">
        <v>31</v>
      </c>
      <c r="B19" s="11">
        <v>75.0</v>
      </c>
      <c r="C19" s="11">
        <v>80.0</v>
      </c>
      <c r="D19" s="11">
        <v>75.0</v>
      </c>
      <c r="E19" s="11">
        <v>63.0</v>
      </c>
      <c r="F19" s="11">
        <v>60.0</v>
      </c>
      <c r="G19" s="11">
        <v>64.0</v>
      </c>
      <c r="H19" s="11"/>
      <c r="I19" s="11"/>
      <c r="J19" s="11"/>
      <c r="K19" s="11"/>
      <c r="L19" s="11"/>
      <c r="M19" s="11"/>
      <c r="N19" s="11" t="s">
        <v>21</v>
      </c>
    </row>
    <row r="20">
      <c r="A20" s="10" t="s">
        <v>32</v>
      </c>
      <c r="B20" s="11">
        <v>11.0</v>
      </c>
      <c r="C20" s="11">
        <v>9.0</v>
      </c>
      <c r="D20" s="11">
        <v>8.0</v>
      </c>
      <c r="E20" s="11">
        <v>7.0</v>
      </c>
      <c r="F20" s="11">
        <v>9.0</v>
      </c>
      <c r="G20" s="11">
        <v>14.0</v>
      </c>
      <c r="H20" s="11"/>
      <c r="I20" s="11"/>
      <c r="J20" s="11"/>
      <c r="K20" s="11"/>
      <c r="L20" s="11"/>
      <c r="M20" s="11"/>
      <c r="N20" s="11" t="s">
        <v>21</v>
      </c>
    </row>
    <row r="21" ht="15.75" customHeight="1">
      <c r="A21" s="10" t="s">
        <v>33</v>
      </c>
      <c r="B21" s="11">
        <v>19.0</v>
      </c>
      <c r="C21" s="11">
        <v>19.0</v>
      </c>
      <c r="D21" s="11">
        <v>17.0</v>
      </c>
      <c r="E21" s="11">
        <v>15.0</v>
      </c>
      <c r="F21" s="11">
        <v>18.0</v>
      </c>
      <c r="G21" s="11">
        <v>16.0</v>
      </c>
      <c r="H21" s="11"/>
      <c r="I21" s="11"/>
      <c r="J21" s="11"/>
      <c r="K21" s="11"/>
      <c r="L21" s="11"/>
      <c r="M21" s="11"/>
      <c r="N21" s="11" t="s">
        <v>21</v>
      </c>
    </row>
    <row r="22" ht="15.75" customHeight="1">
      <c r="A22" s="10" t="s">
        <v>34</v>
      </c>
      <c r="B22" s="11">
        <v>7.0</v>
      </c>
      <c r="C22" s="11">
        <v>9.0</v>
      </c>
      <c r="D22" s="11">
        <v>7.0</v>
      </c>
      <c r="E22" s="11">
        <v>7.0</v>
      </c>
      <c r="F22" s="11">
        <v>6.0</v>
      </c>
      <c r="G22" s="11">
        <v>0.0</v>
      </c>
      <c r="H22" s="11"/>
      <c r="I22" s="11"/>
      <c r="J22" s="11"/>
      <c r="K22" s="11"/>
      <c r="L22" s="11"/>
      <c r="M22" s="11"/>
      <c r="N22" s="11" t="s">
        <v>21</v>
      </c>
    </row>
    <row r="23" ht="15.75" customHeight="1">
      <c r="A23" s="10" t="s">
        <v>35</v>
      </c>
      <c r="B23" s="11">
        <v>2.0</v>
      </c>
      <c r="C23" s="11">
        <v>0.0</v>
      </c>
      <c r="D23" s="11">
        <v>1.0</v>
      </c>
      <c r="E23" s="11">
        <v>2.0</v>
      </c>
      <c r="F23" s="11">
        <v>2.0</v>
      </c>
      <c r="G23" s="11">
        <v>0.0</v>
      </c>
      <c r="H23" s="11"/>
      <c r="I23" s="11"/>
      <c r="J23" s="11"/>
      <c r="K23" s="11"/>
      <c r="L23" s="11"/>
      <c r="M23" s="11"/>
      <c r="N23" s="11" t="s">
        <v>21</v>
      </c>
    </row>
    <row r="24" ht="15.75" customHeight="1">
      <c r="A24" s="13" t="s">
        <v>36</v>
      </c>
      <c r="B24" s="14">
        <v>238.0</v>
      </c>
      <c r="C24" s="14">
        <v>368.0</v>
      </c>
      <c r="D24" s="14">
        <v>493.0</v>
      </c>
      <c r="E24" s="14">
        <v>456.0</v>
      </c>
      <c r="F24" s="14">
        <v>490.0</v>
      </c>
      <c r="G24" s="14">
        <v>512.0</v>
      </c>
      <c r="H24" s="14"/>
      <c r="I24" s="14"/>
      <c r="J24" s="14"/>
      <c r="K24" s="14"/>
      <c r="L24" s="14"/>
      <c r="M24" s="14"/>
      <c r="N24" s="14">
        <f t="shared" ref="N24:N30" si="2">SUM(B24:M24)</f>
        <v>2557</v>
      </c>
    </row>
    <row r="25" ht="15.75" customHeight="1">
      <c r="A25" s="13" t="s">
        <v>37</v>
      </c>
      <c r="B25" s="14">
        <v>104.0</v>
      </c>
      <c r="C25" s="14">
        <v>63.0</v>
      </c>
      <c r="D25" s="14">
        <v>83.0</v>
      </c>
      <c r="E25" s="14">
        <v>120.0</v>
      </c>
      <c r="F25" s="14">
        <v>79.0</v>
      </c>
      <c r="G25" s="14">
        <v>123.0</v>
      </c>
      <c r="H25" s="14"/>
      <c r="I25" s="14"/>
      <c r="J25" s="14"/>
      <c r="K25" s="14"/>
      <c r="L25" s="14"/>
      <c r="M25" s="14"/>
      <c r="N25" s="14">
        <f t="shared" si="2"/>
        <v>572</v>
      </c>
    </row>
    <row r="26" ht="15.75" customHeight="1">
      <c r="A26" s="13" t="s">
        <v>38</v>
      </c>
      <c r="B26" s="14">
        <v>222.0</v>
      </c>
      <c r="C26" s="14">
        <v>208.0</v>
      </c>
      <c r="D26" s="14">
        <v>284.0</v>
      </c>
      <c r="E26" s="14">
        <v>318.0</v>
      </c>
      <c r="F26" s="14">
        <v>319.0</v>
      </c>
      <c r="G26" s="14">
        <v>260.0</v>
      </c>
      <c r="H26" s="14"/>
      <c r="I26" s="14"/>
      <c r="J26" s="14"/>
      <c r="K26" s="14"/>
      <c r="L26" s="14"/>
      <c r="M26" s="14"/>
      <c r="N26" s="14">
        <f t="shared" si="2"/>
        <v>1611</v>
      </c>
    </row>
    <row r="27" ht="15.75" customHeight="1">
      <c r="A27" s="13" t="s">
        <v>39</v>
      </c>
      <c r="B27" s="14">
        <v>128.0</v>
      </c>
      <c r="C27" s="14">
        <v>138.0</v>
      </c>
      <c r="D27" s="14">
        <v>177.0</v>
      </c>
      <c r="E27" s="14">
        <v>217.0</v>
      </c>
      <c r="F27" s="14">
        <v>211.0</v>
      </c>
      <c r="G27" s="14">
        <v>206.0</v>
      </c>
      <c r="H27" s="14"/>
      <c r="I27" s="14"/>
      <c r="J27" s="14"/>
      <c r="K27" s="14"/>
      <c r="L27" s="14"/>
      <c r="M27" s="14"/>
      <c r="N27" s="14">
        <f t="shared" si="2"/>
        <v>1077</v>
      </c>
    </row>
    <row r="28" ht="15.75" customHeight="1">
      <c r="A28" s="13" t="s">
        <v>40</v>
      </c>
      <c r="B28" s="14">
        <v>94.0</v>
      </c>
      <c r="C28" s="14">
        <v>70.0</v>
      </c>
      <c r="D28" s="14">
        <v>107.0</v>
      </c>
      <c r="E28" s="14">
        <v>98.0</v>
      </c>
      <c r="F28" s="14">
        <v>108.0</v>
      </c>
      <c r="G28" s="14">
        <v>54.0</v>
      </c>
      <c r="H28" s="14"/>
      <c r="I28" s="14"/>
      <c r="J28" s="14"/>
      <c r="K28" s="14"/>
      <c r="L28" s="14"/>
      <c r="M28" s="14"/>
      <c r="N28" s="14">
        <f t="shared" si="2"/>
        <v>531</v>
      </c>
    </row>
    <row r="29" ht="15.75" customHeight="1">
      <c r="A29" s="13" t="s">
        <v>41</v>
      </c>
      <c r="B29" s="14">
        <v>3.0</v>
      </c>
      <c r="C29" s="14">
        <v>3.0</v>
      </c>
      <c r="D29" s="14">
        <v>2.0</v>
      </c>
      <c r="E29" s="14">
        <v>3.0</v>
      </c>
      <c r="F29" s="14">
        <v>1.0</v>
      </c>
      <c r="G29" s="14">
        <v>3.0</v>
      </c>
      <c r="H29" s="14"/>
      <c r="I29" s="14"/>
      <c r="J29" s="14"/>
      <c r="K29" s="14"/>
      <c r="L29" s="14"/>
      <c r="M29" s="14"/>
      <c r="N29" s="14">
        <f t="shared" si="2"/>
        <v>15</v>
      </c>
    </row>
    <row r="30" ht="15.75" customHeight="1">
      <c r="A30" s="13" t="s">
        <v>42</v>
      </c>
      <c r="B30" s="14">
        <v>7.0</v>
      </c>
      <c r="C30" s="14">
        <v>11.0</v>
      </c>
      <c r="D30" s="14">
        <v>4.0</v>
      </c>
      <c r="E30" s="14">
        <v>6.0</v>
      </c>
      <c r="F30" s="14">
        <v>7.0</v>
      </c>
      <c r="G30" s="14">
        <v>10.0</v>
      </c>
      <c r="H30" s="14"/>
      <c r="I30" s="14"/>
      <c r="J30" s="14"/>
      <c r="K30" s="14"/>
      <c r="L30" s="14"/>
      <c r="M30" s="14"/>
      <c r="N30" s="14">
        <f t="shared" si="2"/>
        <v>45</v>
      </c>
    </row>
    <row r="31" ht="84.0" customHeight="1">
      <c r="A31" s="15" t="s">
        <v>43</v>
      </c>
      <c r="B31" s="16" t="s">
        <v>44</v>
      </c>
      <c r="C31" s="16" t="s">
        <v>45</v>
      </c>
      <c r="D31" s="16" t="s">
        <v>46</v>
      </c>
      <c r="E31" s="16" t="s">
        <v>47</v>
      </c>
      <c r="F31" s="16" t="s">
        <v>46</v>
      </c>
      <c r="G31" s="16" t="s">
        <v>46</v>
      </c>
      <c r="H31" s="16"/>
      <c r="I31" s="16"/>
      <c r="J31" s="16"/>
      <c r="K31" s="16"/>
      <c r="L31" s="16"/>
      <c r="M31" s="16"/>
      <c r="N31" s="17" t="s">
        <v>21</v>
      </c>
    </row>
    <row r="32" ht="81.0" customHeight="1">
      <c r="A32" s="15" t="s">
        <v>48</v>
      </c>
      <c r="B32" s="16" t="s">
        <v>49</v>
      </c>
      <c r="C32" s="16" t="s">
        <v>50</v>
      </c>
      <c r="D32" s="16" t="s">
        <v>51</v>
      </c>
      <c r="E32" s="16" t="s">
        <v>52</v>
      </c>
      <c r="F32" s="16" t="s">
        <v>53</v>
      </c>
      <c r="G32" s="16" t="s">
        <v>53</v>
      </c>
      <c r="H32" s="16"/>
      <c r="I32" s="16"/>
      <c r="J32" s="16"/>
      <c r="K32" s="16"/>
      <c r="L32" s="16"/>
      <c r="M32" s="16"/>
      <c r="N32" s="17" t="s">
        <v>21</v>
      </c>
    </row>
    <row r="33" ht="76.5" customHeight="1">
      <c r="A33" s="15" t="s">
        <v>54</v>
      </c>
      <c r="B33" s="16" t="s">
        <v>55</v>
      </c>
      <c r="C33" s="16" t="s">
        <v>56</v>
      </c>
      <c r="D33" s="16" t="s">
        <v>57</v>
      </c>
      <c r="E33" s="16" t="s">
        <v>58</v>
      </c>
      <c r="F33" s="16" t="s">
        <v>44</v>
      </c>
      <c r="G33" s="16" t="s">
        <v>57</v>
      </c>
      <c r="H33" s="16"/>
      <c r="I33" s="16"/>
      <c r="J33" s="16"/>
      <c r="K33" s="16"/>
      <c r="L33" s="16"/>
      <c r="M33" s="18"/>
      <c r="N33" s="17" t="s">
        <v>21</v>
      </c>
      <c r="O33" s="19"/>
      <c r="P33" s="20"/>
    </row>
    <row r="34" ht="69.0" customHeight="1">
      <c r="A34" s="15" t="s">
        <v>59</v>
      </c>
      <c r="B34" s="16" t="s">
        <v>60</v>
      </c>
      <c r="C34" s="16" t="s">
        <v>61</v>
      </c>
      <c r="D34" s="16" t="s">
        <v>62</v>
      </c>
      <c r="E34" s="16" t="s">
        <v>63</v>
      </c>
      <c r="F34" s="16" t="s">
        <v>64</v>
      </c>
      <c r="G34" s="16" t="s">
        <v>64</v>
      </c>
      <c r="H34" s="16"/>
      <c r="I34" s="16"/>
      <c r="J34" s="16"/>
      <c r="K34" s="16"/>
      <c r="L34" s="18"/>
      <c r="M34" s="18"/>
      <c r="N34" s="17" t="s">
        <v>21</v>
      </c>
      <c r="O34" s="19"/>
      <c r="P34" s="20"/>
    </row>
    <row r="35" ht="62.25" customHeight="1">
      <c r="A35" s="15" t="s">
        <v>65</v>
      </c>
      <c r="B35" s="16" t="s">
        <v>66</v>
      </c>
      <c r="C35" s="16" t="s">
        <v>67</v>
      </c>
      <c r="D35" s="16" t="s">
        <v>64</v>
      </c>
      <c r="E35" s="16" t="s">
        <v>68</v>
      </c>
      <c r="F35" s="16" t="s">
        <v>69</v>
      </c>
      <c r="G35" s="16" t="s">
        <v>69</v>
      </c>
      <c r="H35" s="21"/>
      <c r="I35" s="21"/>
      <c r="J35" s="21"/>
      <c r="K35" s="21"/>
      <c r="L35" s="21"/>
      <c r="M35" s="21"/>
      <c r="N35" s="22" t="s">
        <v>21</v>
      </c>
      <c r="O35" s="19"/>
      <c r="P35" s="20"/>
    </row>
    <row r="36" ht="15.75" customHeight="1">
      <c r="B36" s="23"/>
      <c r="C36" s="23"/>
      <c r="D36" s="23"/>
      <c r="E36" s="24"/>
      <c r="F36" s="19"/>
      <c r="G36" s="20"/>
      <c r="H36" s="24"/>
      <c r="I36" s="19"/>
      <c r="J36" s="20"/>
      <c r="K36" s="23"/>
      <c r="L36" s="23"/>
      <c r="M36" s="23"/>
      <c r="O36" s="24"/>
      <c r="P36" s="19"/>
      <c r="Q36" s="20"/>
    </row>
    <row r="37" ht="15.75" customHeight="1">
      <c r="B37" s="23"/>
      <c r="C37" s="23"/>
      <c r="D37" s="23"/>
      <c r="E37" s="24"/>
      <c r="F37" s="19"/>
      <c r="G37" s="20"/>
      <c r="H37" s="24"/>
      <c r="I37" s="19"/>
      <c r="J37" s="20"/>
      <c r="K37" s="23"/>
      <c r="L37" s="23"/>
      <c r="M37" s="23"/>
    </row>
    <row r="38" ht="15.75" customHeight="1"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</row>
    <row r="39" ht="15.75" customHeight="1"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</row>
    <row r="40" ht="15.75" customHeight="1"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</row>
    <row r="41" ht="15.75" customHeight="1"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</row>
    <row r="42" ht="15.75" customHeight="1"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</row>
    <row r="43" ht="15.75" customHeight="1"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</row>
    <row r="44" ht="15.75" customHeight="1"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</row>
    <row r="45" ht="15.75" customHeight="1"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</row>
    <row r="46" ht="15.75" customHeight="1"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</row>
    <row r="47" ht="15.75" customHeight="1"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</row>
    <row r="48" ht="15.75" customHeight="1"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</row>
    <row r="49" ht="15.75" customHeight="1"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</row>
    <row r="50" ht="15.75" customHeight="1"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</row>
    <row r="51" ht="15.75" customHeight="1"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</row>
    <row r="52" ht="15.75" customHeight="1"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</row>
    <row r="53" ht="15.75" customHeight="1"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</row>
    <row r="54" ht="15.75" customHeight="1"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</row>
    <row r="55" ht="15.75" customHeight="1"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</row>
    <row r="56" ht="15.75" customHeight="1"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</row>
    <row r="57" ht="15.75" customHeight="1"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</row>
    <row r="58" ht="15.75" customHeight="1"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</row>
    <row r="59" ht="15.75" customHeight="1"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</row>
    <row r="60" ht="15.75" customHeight="1"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</row>
    <row r="61" ht="15.75" customHeight="1"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</row>
    <row r="62" ht="15.75" customHeight="1"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</row>
    <row r="63" ht="15.75" customHeight="1"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</row>
    <row r="64" ht="15.75" customHeight="1"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</row>
    <row r="65" ht="15.75" customHeight="1"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</row>
    <row r="66" ht="15.75" customHeight="1"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</row>
    <row r="67" ht="15.75" customHeight="1"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</row>
    <row r="68" ht="15.75" customHeight="1"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</row>
    <row r="69" ht="15.75" customHeight="1"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</row>
    <row r="70" ht="15.75" customHeight="1"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</row>
    <row r="71" ht="15.75" customHeight="1"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</row>
    <row r="72" ht="15.75" customHeight="1"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</row>
    <row r="73" ht="15.75" customHeight="1"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</row>
    <row r="74" ht="15.75" customHeight="1"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</row>
    <row r="75" ht="15.75" customHeight="1"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</row>
    <row r="76" ht="15.75" customHeight="1"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</row>
    <row r="77" ht="15.75" customHeight="1"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</row>
    <row r="78" ht="15.75" customHeight="1"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</row>
    <row r="79" ht="15.75" customHeight="1"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</row>
    <row r="80" ht="15.75" customHeight="1"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</row>
    <row r="81" ht="15.75" customHeight="1"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</row>
    <row r="82" ht="15.75" customHeight="1"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</row>
    <row r="83" ht="15.75" customHeight="1"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</row>
    <row r="84" ht="15.75" customHeight="1"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</row>
    <row r="85" ht="15.75" customHeight="1"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</row>
    <row r="86" ht="15.75" customHeight="1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</row>
    <row r="87" ht="15.75" customHeight="1"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</row>
    <row r="88" ht="15.75" customHeight="1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</row>
    <row r="89" ht="15.75" customHeight="1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</row>
    <row r="90" ht="15.75" customHeight="1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</row>
    <row r="91" ht="15.75" customHeight="1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</row>
    <row r="92" ht="15.75" customHeight="1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</row>
    <row r="93" ht="15.75" customHeight="1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</row>
    <row r="94" ht="15.75" customHeight="1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</row>
    <row r="95" ht="15.75" customHeight="1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</row>
    <row r="96" ht="15.75" customHeight="1"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</row>
    <row r="97" ht="15.75" customHeight="1"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</row>
    <row r="98" ht="15.75" customHeight="1"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</row>
    <row r="99" ht="15.75" customHeight="1"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</row>
    <row r="100" ht="15.75" customHeight="1"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</row>
    <row r="101" ht="15.75" customHeight="1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</row>
    <row r="102" ht="15.75" customHeight="1"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</row>
    <row r="103" ht="15.75" customHeight="1"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</row>
    <row r="104" ht="15.75" customHeight="1"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</row>
    <row r="105" ht="15.75" customHeight="1"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</row>
    <row r="106" ht="15.75" customHeight="1"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</row>
    <row r="107" ht="15.75" customHeight="1"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</row>
    <row r="108" ht="15.75" customHeight="1"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</row>
    <row r="109" ht="15.75" customHeight="1"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</row>
    <row r="110" ht="15.75" customHeight="1"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</row>
    <row r="111" ht="15.75" customHeight="1"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</row>
    <row r="112" ht="15.75" customHeight="1"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</row>
    <row r="113" ht="15.75" customHeight="1"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</row>
    <row r="114" ht="15.75" customHeight="1"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</row>
    <row r="115" ht="15.75" customHeight="1"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</row>
    <row r="116" ht="15.75" customHeight="1"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</row>
    <row r="117" ht="15.75" customHeight="1"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</row>
    <row r="118" ht="15.75" customHeight="1"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</row>
    <row r="119" ht="15.75" customHeight="1"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</row>
    <row r="120" ht="15.75" customHeight="1"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</row>
    <row r="121" ht="15.75" customHeight="1"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</row>
    <row r="122" ht="15.75" customHeight="1"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</row>
    <row r="123" ht="15.75" customHeight="1"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</row>
    <row r="124" ht="15.75" customHeight="1"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</row>
    <row r="125" ht="15.75" customHeight="1"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</row>
    <row r="126" ht="15.75" customHeight="1"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</row>
    <row r="127" ht="15.75" customHeight="1"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</row>
    <row r="128" ht="15.75" customHeight="1"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</row>
    <row r="129" ht="15.75" customHeight="1"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</row>
    <row r="130" ht="15.75" customHeight="1"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</row>
    <row r="131" ht="15.75" customHeight="1"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</row>
    <row r="132" ht="15.75" customHeight="1"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</row>
    <row r="133" ht="15.75" customHeight="1"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</row>
    <row r="134" ht="15.75" customHeight="1"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</row>
    <row r="135" ht="15.75" customHeight="1"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</row>
    <row r="136" ht="15.75" customHeight="1"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</row>
    <row r="137" ht="15.75" customHeight="1"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</row>
    <row r="138" ht="15.75" customHeight="1"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39" ht="15.75" customHeight="1"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</row>
    <row r="140" ht="15.75" customHeight="1"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</row>
    <row r="141" ht="15.75" customHeight="1"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</row>
    <row r="142" ht="15.75" customHeight="1"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</row>
    <row r="143" ht="15.75" customHeight="1"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</row>
    <row r="144" ht="15.75" customHeight="1"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</row>
    <row r="145" ht="15.75" customHeight="1"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</row>
    <row r="146" ht="15.75" customHeight="1"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</row>
    <row r="147" ht="15.75" customHeight="1"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</row>
    <row r="148" ht="15.75" customHeight="1"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</row>
    <row r="149" ht="15.75" customHeight="1"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</row>
    <row r="150" ht="15.75" customHeight="1"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</row>
    <row r="151" ht="15.75" customHeight="1"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</row>
    <row r="152" ht="15.75" customHeight="1"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</row>
    <row r="153" ht="15.75" customHeight="1"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</row>
    <row r="154" ht="15.75" customHeight="1"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</row>
    <row r="155" ht="15.75" customHeight="1"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</row>
    <row r="156" ht="15.75" customHeight="1"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</row>
    <row r="157" ht="15.75" customHeight="1"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</row>
    <row r="158" ht="15.75" customHeight="1"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</row>
    <row r="159" ht="15.75" customHeight="1"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</row>
    <row r="160" ht="15.75" customHeight="1"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</row>
    <row r="161" ht="15.75" customHeight="1"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</row>
    <row r="162" ht="15.75" customHeight="1"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</row>
    <row r="163" ht="15.75" customHeight="1"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</row>
    <row r="164" ht="15.75" customHeight="1"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</row>
    <row r="165" ht="15.75" customHeight="1"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</row>
    <row r="166" ht="15.75" customHeight="1"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</row>
    <row r="167" ht="15.75" customHeight="1"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</row>
    <row r="168" ht="15.75" customHeight="1"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</row>
    <row r="169" ht="15.75" customHeight="1"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</row>
    <row r="170" ht="15.75" customHeight="1"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</row>
    <row r="171" ht="15.75" customHeight="1"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</row>
    <row r="172" ht="15.75" customHeight="1"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</row>
    <row r="173" ht="15.75" customHeight="1"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</row>
    <row r="174" ht="15.75" customHeight="1"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</row>
    <row r="175" ht="15.75" customHeight="1"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</row>
    <row r="176" ht="15.75" customHeight="1"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</row>
    <row r="177" ht="15.75" customHeight="1"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</row>
    <row r="178" ht="15.75" customHeight="1"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</row>
    <row r="179" ht="15.75" customHeight="1"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</row>
    <row r="180" ht="15.75" customHeight="1"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</row>
    <row r="181" ht="15.75" customHeight="1"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</row>
    <row r="182" ht="15.75" customHeight="1"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</row>
    <row r="183" ht="15.75" customHeight="1"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</row>
    <row r="184" ht="15.75" customHeight="1"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</row>
    <row r="185" ht="15.75" customHeight="1"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</row>
    <row r="186" ht="15.75" customHeight="1"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</row>
    <row r="187" ht="15.75" customHeight="1"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</row>
    <row r="188" ht="15.75" customHeight="1"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</row>
    <row r="189" ht="15.75" customHeight="1"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</row>
    <row r="190" ht="15.75" customHeight="1"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</row>
    <row r="191" ht="15.75" customHeight="1"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</row>
    <row r="192" ht="15.75" customHeight="1"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</row>
    <row r="193" ht="15.75" customHeight="1"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</row>
    <row r="194" ht="15.75" customHeight="1"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</row>
    <row r="195" ht="15.75" customHeight="1"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</row>
    <row r="196" ht="15.75" customHeight="1"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</row>
    <row r="197" ht="15.75" customHeight="1"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</row>
    <row r="198" ht="15.75" customHeight="1"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</row>
    <row r="199" ht="15.75" customHeight="1"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</row>
    <row r="200" ht="15.75" customHeight="1"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</row>
    <row r="201" ht="15.75" customHeight="1"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</row>
    <row r="202" ht="15.75" customHeight="1"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</row>
    <row r="203" ht="15.75" customHeight="1"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</row>
    <row r="204" ht="15.75" customHeight="1"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</row>
    <row r="205" ht="15.75" customHeight="1"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</row>
    <row r="206" ht="15.75" customHeight="1"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</row>
    <row r="207" ht="15.75" customHeight="1"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</row>
    <row r="208" ht="15.75" customHeight="1"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</row>
    <row r="209" ht="15.75" customHeight="1"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</row>
    <row r="210" ht="15.75" customHeight="1"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</row>
    <row r="211" ht="15.75" customHeight="1"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</row>
    <row r="212" ht="15.75" customHeight="1"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</row>
    <row r="213" ht="15.75" customHeight="1"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</row>
    <row r="214" ht="15.75" customHeight="1"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</row>
    <row r="215" ht="15.75" customHeight="1"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</row>
    <row r="216" ht="15.75" customHeight="1"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</row>
    <row r="217" ht="15.75" customHeight="1"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</row>
    <row r="218" ht="15.75" customHeight="1"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</row>
    <row r="219" ht="15.75" customHeight="1"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</row>
    <row r="220" ht="15.75" customHeight="1"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</row>
    <row r="221" ht="15.75" customHeight="1"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</row>
    <row r="222" ht="15.75" customHeight="1"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</row>
    <row r="223" ht="15.75" customHeight="1"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</row>
    <row r="224" ht="15.75" customHeight="1"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</row>
    <row r="225" ht="15.75" customHeight="1"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</row>
    <row r="226" ht="15.75" customHeight="1"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</row>
    <row r="227" ht="15.75" customHeight="1"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</row>
    <row r="228" ht="15.75" customHeight="1"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</row>
    <row r="229" ht="15.75" customHeight="1"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</row>
    <row r="230" ht="15.75" customHeight="1"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</row>
    <row r="231" ht="15.75" customHeight="1"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</row>
    <row r="232" ht="15.75" customHeight="1"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</row>
    <row r="233" ht="15.75" customHeight="1"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</row>
    <row r="234" ht="15.75" customHeight="1"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</row>
    <row r="235" ht="15.75" customHeight="1"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</row>
    <row r="236" ht="15.75" customHeight="1"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</row>
    <row r="237" ht="15.75" customHeight="1"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</row>
    <row r="238" ht="15.75" customHeight="1"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</row>
    <row r="239" ht="15.75" customHeight="1"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</row>
    <row r="240" ht="15.75" customHeight="1"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</row>
    <row r="241" ht="15.75" customHeight="1"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</row>
    <row r="242" ht="15.75" customHeight="1"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</row>
    <row r="243" ht="15.75" customHeight="1"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</row>
    <row r="244" ht="15.75" customHeight="1"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</row>
    <row r="245" ht="15.75" customHeight="1"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</row>
    <row r="246" ht="15.75" customHeight="1"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</row>
    <row r="247" ht="15.75" customHeight="1"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</row>
    <row r="248" ht="15.75" customHeight="1"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</row>
    <row r="249" ht="15.75" customHeight="1"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</row>
    <row r="250" ht="15.75" customHeight="1"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</row>
    <row r="251" ht="15.75" customHeight="1"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</row>
    <row r="252" ht="15.75" customHeight="1"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</row>
    <row r="253" ht="15.75" customHeight="1"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</row>
    <row r="254" ht="15.75" customHeight="1"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</row>
    <row r="255" ht="15.75" customHeight="1"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</row>
    <row r="256" ht="15.75" customHeight="1"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</row>
    <row r="257" ht="15.75" customHeight="1"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</row>
    <row r="258" ht="15.75" customHeight="1"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</row>
    <row r="259" ht="15.75" customHeight="1"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</row>
    <row r="260" ht="15.75" customHeight="1"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</row>
    <row r="261" ht="15.75" customHeight="1"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</row>
    <row r="262" ht="15.75" customHeight="1"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</row>
    <row r="263" ht="15.75" customHeight="1"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</row>
    <row r="264" ht="15.75" customHeight="1"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</row>
    <row r="265" ht="15.75" customHeight="1"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</row>
    <row r="266" ht="15.75" customHeight="1"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</row>
    <row r="267" ht="15.75" customHeight="1"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</row>
    <row r="268" ht="15.75" customHeight="1"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</row>
    <row r="269" ht="15.75" customHeight="1"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</row>
    <row r="270" ht="15.75" customHeight="1"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</row>
    <row r="271" ht="15.75" customHeight="1"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</row>
    <row r="272" ht="15.75" customHeight="1"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</row>
    <row r="273" ht="15.75" customHeight="1"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</row>
    <row r="274" ht="15.75" customHeight="1"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</row>
    <row r="275" ht="15.75" customHeight="1"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</row>
    <row r="276" ht="15.75" customHeight="1"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</row>
    <row r="277" ht="15.75" customHeight="1"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 ht="15.75" customHeight="1"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 ht="15.75" customHeight="1"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 ht="15.75" customHeight="1"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 ht="15.75" customHeight="1"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 ht="15.75" customHeight="1"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 ht="15.75" customHeight="1"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 ht="15.75" customHeight="1"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 ht="15.75" customHeight="1"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 ht="15.75" customHeight="1"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 ht="15.75" customHeight="1"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 ht="15.75" customHeight="1"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 ht="15.75" customHeight="1"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 ht="15.75" customHeight="1"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 ht="15.75" customHeight="1"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 ht="15.75" customHeight="1"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 ht="15.75" customHeight="1"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 ht="15.75" customHeight="1"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 ht="15.75" customHeight="1"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 ht="15.75" customHeight="1"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 ht="15.75" customHeight="1"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 ht="15.75" customHeight="1"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 ht="15.75" customHeight="1"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 ht="15.75" customHeight="1"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 ht="15.75" customHeight="1"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 ht="15.75" customHeight="1"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 ht="15.75" customHeight="1"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 ht="15.75" customHeight="1"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 ht="15.75" customHeight="1"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 ht="15.75" customHeight="1"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 ht="15.75" customHeight="1"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 ht="15.75" customHeight="1"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 ht="15.75" customHeight="1"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 ht="15.75" customHeight="1"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 ht="15.75" customHeight="1"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 ht="15.75" customHeight="1"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 ht="15.75" customHeight="1"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 ht="15.75" customHeight="1"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 ht="15.75" customHeight="1"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 ht="15.75" customHeight="1"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 ht="15.75" customHeight="1"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 ht="15.75" customHeight="1"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 ht="15.75" customHeight="1"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 ht="15.75" customHeight="1"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 ht="15.75" customHeight="1"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 ht="15.75" customHeight="1"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 ht="15.75" customHeight="1"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 ht="15.75" customHeight="1"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 ht="15.75" customHeight="1"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 ht="15.75" customHeight="1"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 ht="15.75" customHeight="1"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 ht="15.75" customHeight="1"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 ht="15.75" customHeight="1"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 ht="15.75" customHeight="1"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 ht="15.75" customHeight="1"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 ht="15.75" customHeight="1"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 ht="15.75" customHeight="1"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 ht="15.75" customHeight="1"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 ht="15.75" customHeight="1"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 ht="15.75" customHeight="1"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 ht="15.75" customHeight="1"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 ht="15.75" customHeight="1"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 ht="15.75" customHeight="1"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 ht="15.75" customHeight="1"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 ht="15.75" customHeight="1"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 ht="15.75" customHeight="1"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 ht="15.75" customHeight="1"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 ht="15.75" customHeight="1"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 ht="15.75" customHeight="1"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 ht="15.75" customHeight="1"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 ht="15.75" customHeight="1"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 ht="15.75" customHeight="1"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 ht="15.75" customHeight="1"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 ht="15.75" customHeight="1"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 ht="15.75" customHeight="1"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 ht="15.75" customHeight="1"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 ht="15.75" customHeight="1"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 ht="15.75" customHeight="1"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 ht="15.75" customHeight="1"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 ht="15.75" customHeight="1"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 ht="15.75" customHeight="1"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 ht="15.75" customHeight="1"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 ht="15.75" customHeight="1"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 ht="15.75" customHeight="1"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 ht="15.75" customHeight="1"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 ht="15.75" customHeight="1"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 ht="15.75" customHeight="1"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 ht="15.75" customHeight="1"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 ht="15.75" customHeight="1"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 ht="15.75" customHeight="1"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 ht="15.75" customHeight="1"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 ht="15.75" customHeight="1"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 ht="15.75" customHeight="1"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 ht="15.75" customHeight="1"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 ht="15.75" customHeight="1"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 ht="15.75" customHeight="1"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 ht="15.75" customHeight="1"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 ht="15.75" customHeight="1"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 ht="15.75" customHeight="1"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 ht="15.75" customHeight="1"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 ht="15.75" customHeight="1"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 ht="15.75" customHeight="1"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 ht="15.75" customHeight="1"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 ht="15.75" customHeight="1"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 ht="15.75" customHeight="1"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 ht="15.75" customHeight="1"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 ht="15.75" customHeight="1"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 ht="15.75" customHeight="1"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 ht="15.75" customHeight="1"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 ht="15.75" customHeight="1"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 ht="15.75" customHeight="1"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 ht="15.75" customHeight="1"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 ht="15.75" customHeight="1"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 ht="15.75" customHeight="1"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 ht="15.75" customHeight="1"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 ht="15.75" customHeight="1"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 ht="15.75" customHeight="1"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 ht="15.75" customHeight="1"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 ht="15.75" customHeight="1"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 ht="15.75" customHeight="1"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 ht="15.75" customHeight="1"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 ht="15.75" customHeight="1"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 ht="15.75" customHeight="1"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 ht="15.75" customHeight="1"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 ht="15.75" customHeight="1"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 ht="15.75" customHeight="1"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 ht="15.75" customHeight="1"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 ht="15.75" customHeight="1"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 ht="15.75" customHeight="1"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 ht="15.75" customHeight="1"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 ht="15.75" customHeight="1"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 ht="15.75" customHeight="1"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 ht="15.75" customHeight="1"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 ht="15.75" customHeight="1"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 ht="15.75" customHeight="1"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 ht="15.75" customHeight="1"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 ht="15.75" customHeight="1"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 ht="15.75" customHeight="1"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 ht="15.75" customHeight="1"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 ht="15.75" customHeight="1"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 ht="15.75" customHeight="1"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 ht="15.75" customHeight="1"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 ht="15.75" customHeight="1"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 ht="15.75" customHeight="1"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 ht="15.75" customHeight="1"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 ht="15.75" customHeight="1"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 ht="15.75" customHeight="1"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 ht="15.75" customHeight="1"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 ht="15.75" customHeight="1"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 ht="15.75" customHeight="1"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 ht="15.75" customHeight="1"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 ht="15.75" customHeight="1"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 ht="15.75" customHeight="1"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 ht="15.75" customHeight="1"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 ht="15.75" customHeight="1"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 ht="15.75" customHeight="1"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 ht="15.75" customHeight="1"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 ht="15.75" customHeight="1"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 ht="15.75" customHeight="1"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 ht="15.75" customHeight="1"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 ht="15.75" customHeight="1"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 ht="15.75" customHeight="1"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 ht="15.75" customHeight="1"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 ht="15.75" customHeight="1"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 ht="15.75" customHeight="1"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 ht="15.75" customHeight="1"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 ht="15.75" customHeight="1"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 ht="15.75" customHeight="1"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 ht="15.75" customHeight="1"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 ht="15.75" customHeight="1"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 ht="15.75" customHeight="1"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 ht="15.75" customHeight="1"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 ht="15.75" customHeight="1"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 ht="15.75" customHeight="1"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 ht="15.75" customHeight="1"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 ht="15.75" customHeight="1"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 ht="15.75" customHeight="1"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 ht="15.75" customHeight="1"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 ht="15.75" customHeight="1"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 ht="15.75" customHeight="1"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 ht="15.75" customHeight="1"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 ht="15.75" customHeight="1"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 ht="15.75" customHeight="1"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 ht="15.75" customHeight="1"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 ht="15.75" customHeight="1"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 ht="15.75" customHeight="1"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 ht="15.75" customHeight="1"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 ht="15.75" customHeight="1"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 ht="15.75" customHeight="1"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 ht="15.75" customHeight="1"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 ht="15.75" customHeight="1"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 ht="15.75" customHeight="1"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 ht="15.75" customHeight="1"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 ht="15.75" customHeight="1"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 ht="15.75" customHeight="1"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 ht="15.75" customHeight="1"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 ht="15.75" customHeight="1"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 ht="15.75" customHeight="1"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 ht="15.75" customHeight="1"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 ht="15.75" customHeight="1"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 ht="15.75" customHeight="1"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 ht="15.75" customHeight="1"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 ht="15.75" customHeight="1"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 ht="15.75" customHeight="1"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 ht="15.75" customHeight="1"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 ht="15.75" customHeight="1"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 ht="15.75" customHeight="1"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 ht="15.75" customHeight="1"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 ht="15.75" customHeight="1"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 ht="15.75" customHeight="1"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 ht="15.75" customHeight="1"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 ht="15.75" customHeight="1"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 ht="15.75" customHeight="1"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 ht="15.75" customHeight="1"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 ht="15.75" customHeight="1"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 ht="15.75" customHeight="1"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 ht="15.75" customHeight="1"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 ht="15.75" customHeight="1"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 ht="15.75" customHeight="1"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 ht="15.75" customHeight="1"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 ht="15.75" customHeight="1"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 ht="15.75" customHeight="1"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 ht="15.75" customHeight="1"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 ht="15.75" customHeight="1"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 ht="15.75" customHeight="1"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 ht="15.75" customHeight="1"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 ht="15.75" customHeight="1"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 ht="15.75" customHeight="1"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 ht="15.75" customHeight="1"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 ht="15.75" customHeight="1"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 ht="15.75" customHeight="1"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 ht="15.75" customHeight="1"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 ht="15.75" customHeight="1"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 ht="15.75" customHeight="1"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 ht="15.75" customHeight="1"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 ht="15.75" customHeight="1"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 ht="15.75" customHeight="1"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 ht="15.75" customHeight="1"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 ht="15.75" customHeight="1"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 ht="15.75" customHeight="1"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 ht="15.75" customHeight="1"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 ht="15.75" customHeight="1"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 ht="15.75" customHeight="1"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 ht="15.75" customHeight="1"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 ht="15.75" customHeight="1"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 ht="15.75" customHeight="1"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 ht="15.75" customHeight="1"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 ht="15.75" customHeight="1"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 ht="15.75" customHeight="1"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 ht="15.75" customHeight="1"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 ht="15.75" customHeight="1"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 ht="15.75" customHeight="1"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 ht="15.75" customHeight="1"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 ht="15.75" customHeight="1"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 ht="15.75" customHeight="1"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 ht="15.75" customHeight="1"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 ht="15.75" customHeight="1"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 ht="15.75" customHeight="1"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 ht="15.75" customHeight="1"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 ht="15.75" customHeight="1"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 ht="15.75" customHeight="1"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 ht="15.75" customHeight="1"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 ht="15.75" customHeight="1"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 ht="15.75" customHeight="1"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 ht="15.75" customHeight="1"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 ht="15.75" customHeight="1"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 ht="15.75" customHeight="1"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 ht="15.75" customHeight="1"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 ht="15.75" customHeight="1"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 ht="15.75" customHeight="1"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 ht="15.75" customHeight="1"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 ht="15.75" customHeight="1"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 ht="15.75" customHeight="1"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 ht="15.75" customHeight="1"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 ht="15.75" customHeight="1"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 ht="15.75" customHeight="1"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 ht="15.75" customHeight="1"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 ht="15.75" customHeight="1"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 ht="15.75" customHeight="1"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 ht="15.75" customHeight="1"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 ht="15.75" customHeight="1"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 ht="15.75" customHeight="1"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 ht="15.75" customHeight="1"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 ht="15.75" customHeight="1"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 ht="15.75" customHeight="1"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 ht="15.75" customHeight="1"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 ht="15.75" customHeight="1"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 ht="15.75" customHeight="1"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 ht="15.75" customHeight="1"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 ht="15.75" customHeight="1"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 ht="15.75" customHeight="1"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 ht="15.75" customHeight="1"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 ht="15.75" customHeight="1"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 ht="15.75" customHeight="1"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 ht="15.75" customHeight="1"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 ht="15.75" customHeight="1"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 ht="15.75" customHeight="1"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 ht="15.75" customHeight="1"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 ht="15.75" customHeight="1"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 ht="15.75" customHeight="1"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 ht="15.75" customHeight="1"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 ht="15.75" customHeight="1"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 ht="15.75" customHeight="1"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 ht="15.75" customHeight="1"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 ht="15.75" customHeight="1"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 ht="15.75" customHeight="1"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 ht="15.75" customHeight="1"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 ht="15.75" customHeight="1"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 ht="15.75" customHeight="1"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 ht="15.75" customHeight="1"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 ht="15.75" customHeight="1"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 ht="15.75" customHeight="1"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 ht="15.75" customHeight="1"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 ht="15.75" customHeight="1"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 ht="15.75" customHeight="1"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 ht="15.75" customHeight="1"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 ht="15.75" customHeight="1"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 ht="15.75" customHeight="1"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 ht="15.75" customHeight="1"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 ht="15.75" customHeight="1"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 ht="15.75" customHeight="1"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 ht="15.75" customHeight="1"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 ht="15.75" customHeight="1"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 ht="15.75" customHeight="1"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 ht="15.75" customHeight="1"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 ht="15.75" customHeight="1"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 ht="15.75" customHeight="1"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 ht="15.75" customHeight="1"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 ht="15.75" customHeight="1"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 ht="15.75" customHeight="1"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 ht="15.75" customHeight="1"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 ht="15.75" customHeight="1"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 ht="15.75" customHeight="1"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 ht="15.75" customHeight="1"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 ht="15.75" customHeight="1"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 ht="15.75" customHeight="1"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 ht="15.75" customHeight="1"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 ht="15.75" customHeight="1"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 ht="15.75" customHeight="1"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 ht="15.75" customHeight="1"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 ht="15.75" customHeight="1"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 ht="15.75" customHeight="1"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 ht="15.75" customHeight="1"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 ht="15.75" customHeight="1"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 ht="15.75" customHeight="1"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 ht="15.75" customHeight="1"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 ht="15.75" customHeight="1"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 ht="15.75" customHeight="1"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 ht="15.75" customHeight="1"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 ht="15.75" customHeight="1"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 ht="15.75" customHeight="1"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 ht="15.75" customHeight="1"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 ht="15.75" customHeight="1"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 ht="15.75" customHeight="1"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 ht="15.75" customHeight="1"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 ht="15.75" customHeight="1"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 ht="15.75" customHeight="1"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 ht="15.75" customHeight="1"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 ht="15.75" customHeight="1"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 ht="15.75" customHeight="1"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 ht="15.75" customHeight="1"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 ht="15.75" customHeight="1"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 ht="15.75" customHeight="1"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 ht="15.75" customHeight="1"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 ht="15.75" customHeight="1"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 ht="15.75" customHeight="1"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 ht="15.75" customHeight="1"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 ht="15.75" customHeight="1"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 ht="15.75" customHeight="1"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 ht="15.75" customHeight="1"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 ht="15.75" customHeight="1"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 ht="15.75" customHeight="1"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 ht="15.75" customHeight="1"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 ht="15.75" customHeight="1"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 ht="15.75" customHeight="1"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 ht="15.75" customHeight="1"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 ht="15.75" customHeight="1"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 ht="15.75" customHeight="1"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 ht="15.75" customHeight="1"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 ht="15.75" customHeight="1"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 ht="15.75" customHeight="1"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 ht="15.75" customHeight="1"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 ht="15.75" customHeight="1"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 ht="15.75" customHeight="1"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 ht="15.75" customHeight="1"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 ht="15.75" customHeight="1"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 ht="15.75" customHeight="1"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 ht="15.75" customHeight="1"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 ht="15.75" customHeight="1"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 ht="15.75" customHeight="1"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 ht="15.75" customHeight="1"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 ht="15.75" customHeight="1"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 ht="15.75" customHeight="1"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 ht="15.75" customHeight="1"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 ht="15.75" customHeight="1"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 ht="15.75" customHeight="1"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 ht="15.75" customHeight="1"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 ht="15.75" customHeight="1"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 ht="15.75" customHeight="1"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 ht="15.75" customHeight="1"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 ht="15.75" customHeight="1"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 ht="15.75" customHeight="1"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 ht="15.75" customHeight="1"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 ht="15.75" customHeight="1"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 ht="15.75" customHeight="1"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 ht="15.75" customHeight="1"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 ht="15.75" customHeight="1"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 ht="15.75" customHeight="1"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 ht="15.75" customHeight="1"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 ht="15.75" customHeight="1"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 ht="15.75" customHeight="1"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 ht="15.75" customHeight="1"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 ht="15.75" customHeight="1"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 ht="15.75" customHeight="1"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 ht="15.75" customHeight="1"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 ht="15.75" customHeight="1"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 ht="15.75" customHeight="1"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 ht="15.75" customHeight="1"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 ht="15.75" customHeight="1"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 ht="15.75" customHeight="1"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 ht="15.75" customHeight="1"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 ht="15.75" customHeight="1"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 ht="15.75" customHeight="1"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 ht="15.75" customHeight="1"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 ht="15.75" customHeight="1"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 ht="15.75" customHeight="1"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 ht="15.75" customHeight="1"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 ht="15.75" customHeight="1"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 ht="15.75" customHeight="1"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 ht="15.75" customHeight="1"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 ht="15.75" customHeight="1"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 ht="15.75" customHeight="1"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 ht="15.75" customHeight="1"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 ht="15.75" customHeight="1"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 ht="15.75" customHeight="1"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 ht="15.75" customHeight="1"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 ht="15.75" customHeight="1"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 ht="15.75" customHeight="1"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 ht="15.75" customHeight="1"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 ht="15.75" customHeight="1"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 ht="15.75" customHeight="1"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 ht="15.75" customHeight="1"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 ht="15.75" customHeight="1"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 ht="15.75" customHeight="1"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 ht="15.75" customHeight="1"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 ht="15.75" customHeight="1"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 ht="15.75" customHeight="1"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 ht="15.75" customHeight="1"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 ht="15.75" customHeight="1"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 ht="15.75" customHeight="1"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 ht="15.75" customHeight="1"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 ht="15.75" customHeight="1"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 ht="15.75" customHeight="1"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 ht="15.75" customHeight="1"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 ht="15.75" customHeight="1"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 ht="15.75" customHeight="1"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 ht="15.75" customHeight="1"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 ht="15.75" customHeight="1"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 ht="15.75" customHeight="1"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 ht="15.75" customHeight="1"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 ht="15.75" customHeight="1"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 ht="15.75" customHeight="1"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 ht="15.75" customHeight="1"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 ht="15.75" customHeight="1"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 ht="15.75" customHeight="1"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 ht="15.75" customHeight="1"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 ht="15.75" customHeight="1"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 ht="15.75" customHeight="1"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 ht="15.75" customHeight="1"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 ht="15.75" customHeight="1"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 ht="15.75" customHeight="1"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 ht="15.75" customHeight="1"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 ht="15.75" customHeight="1"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 ht="15.75" customHeight="1"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 ht="15.75" customHeight="1"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 ht="15.75" customHeight="1"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 ht="15.75" customHeight="1"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 ht="15.75" customHeight="1"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 ht="15.75" customHeight="1"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 ht="15.75" customHeight="1"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 ht="15.75" customHeight="1"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 ht="15.75" customHeight="1"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 ht="15.75" customHeight="1"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 ht="15.75" customHeight="1"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 ht="15.75" customHeight="1"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 ht="15.75" customHeight="1"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 ht="15.75" customHeight="1"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 ht="15.75" customHeight="1"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 ht="15.75" customHeight="1"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 ht="15.75" customHeight="1"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 ht="15.75" customHeight="1"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 ht="15.75" customHeight="1"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 ht="15.75" customHeight="1"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 ht="15.75" customHeight="1"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 ht="15.75" customHeight="1"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 ht="15.75" customHeight="1"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 ht="15.75" customHeight="1"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 ht="15.75" customHeight="1"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 ht="15.75" customHeight="1"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 ht="15.75" customHeight="1"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 ht="15.75" customHeight="1"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 ht="15.75" customHeight="1"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 ht="15.75" customHeight="1"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 ht="15.75" customHeight="1"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 ht="15.75" customHeight="1"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 ht="15.75" customHeight="1"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 ht="15.75" customHeight="1"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 ht="15.75" customHeight="1"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 ht="15.75" customHeight="1"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 ht="15.75" customHeight="1"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 ht="15.75" customHeight="1"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 ht="15.75" customHeight="1"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 ht="15.75" customHeight="1"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 ht="15.75" customHeight="1"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 ht="15.75" customHeight="1"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 ht="15.75" customHeight="1"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 ht="15.75" customHeight="1"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 ht="15.75" customHeight="1"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 ht="15.75" customHeight="1"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 ht="15.75" customHeight="1"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 ht="15.75" customHeight="1"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 ht="15.75" customHeight="1"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 ht="15.75" customHeight="1"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 ht="15.75" customHeight="1"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 ht="15.75" customHeight="1"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 ht="15.75" customHeight="1"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 ht="15.75" customHeight="1"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 ht="15.75" customHeight="1"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 ht="15.75" customHeight="1"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 ht="15.75" customHeight="1"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 ht="15.75" customHeight="1"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 ht="15.75" customHeight="1"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 ht="15.75" customHeight="1"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 ht="15.75" customHeight="1"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 ht="15.75" customHeight="1"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 ht="15.75" customHeight="1"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 ht="15.75" customHeight="1"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 ht="15.75" customHeight="1"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 ht="15.75" customHeight="1"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 ht="15.75" customHeight="1"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 ht="15.75" customHeight="1"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 ht="15.75" customHeight="1"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 ht="15.75" customHeight="1"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 ht="15.75" customHeight="1"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 ht="15.75" customHeight="1"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 ht="15.75" customHeight="1"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 ht="15.75" customHeight="1"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 ht="15.75" customHeight="1"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 ht="15.75" customHeight="1"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 ht="15.75" customHeight="1"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 ht="15.75" customHeight="1"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 ht="15.75" customHeight="1"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 ht="15.75" customHeight="1"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 ht="15.75" customHeight="1"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 ht="15.75" customHeight="1"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 ht="15.75" customHeight="1"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 ht="15.75" customHeight="1"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 ht="15.75" customHeight="1"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 ht="15.75" customHeight="1"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 ht="15.75" customHeight="1"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 ht="15.75" customHeight="1"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 ht="15.75" customHeight="1"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 ht="15.75" customHeight="1"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 ht="15.75" customHeight="1"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 ht="15.75" customHeight="1"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 ht="15.75" customHeight="1"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 ht="15.75" customHeight="1"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 ht="15.75" customHeight="1"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 ht="15.75" customHeight="1"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 ht="15.75" customHeight="1"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 ht="15.75" customHeight="1"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 ht="15.75" customHeight="1"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 ht="15.75" customHeight="1"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 ht="15.75" customHeight="1"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 ht="15.75" customHeight="1"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 ht="15.75" customHeight="1"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 ht="15.75" customHeight="1"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 ht="15.75" customHeight="1"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 ht="15.75" customHeight="1"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 ht="15.75" customHeight="1"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 ht="15.75" customHeight="1"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 ht="15.75" customHeight="1"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 ht="15.75" customHeight="1"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 ht="15.75" customHeight="1"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 ht="15.75" customHeight="1"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 ht="15.75" customHeight="1"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 ht="15.75" customHeight="1"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 ht="15.75" customHeight="1"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 ht="15.75" customHeight="1"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 ht="15.75" customHeight="1"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 ht="15.75" customHeight="1"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 ht="15.75" customHeight="1"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 ht="15.75" customHeight="1"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 ht="15.75" customHeight="1"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 ht="15.75" customHeight="1"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 ht="15.75" customHeight="1"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 ht="15.75" customHeight="1"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 ht="15.75" customHeight="1"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 ht="15.75" customHeight="1"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 ht="15.75" customHeight="1"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 ht="15.75" customHeight="1"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 ht="15.75" customHeight="1"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 ht="15.75" customHeight="1"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 ht="15.75" customHeight="1"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 ht="15.75" customHeight="1"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 ht="15.75" customHeight="1"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 ht="15.75" customHeight="1"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 ht="15.75" customHeight="1"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 ht="15.75" customHeight="1"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 ht="15.75" customHeight="1"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 ht="15.75" customHeight="1"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 ht="15.75" customHeight="1"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 ht="15.75" customHeight="1"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 ht="15.75" customHeight="1"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 ht="15.75" customHeight="1"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 ht="15.75" customHeight="1"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 ht="15.75" customHeight="1"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 ht="15.75" customHeight="1"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 ht="15.75" customHeight="1"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 ht="15.75" customHeight="1"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 ht="15.75" customHeight="1"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 ht="15.75" customHeight="1"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 ht="15.75" customHeight="1"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 ht="15.75" customHeight="1"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 ht="15.75" customHeight="1"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 ht="15.75" customHeight="1"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 ht="15.75" customHeight="1"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 ht="15.75" customHeight="1"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 ht="15.75" customHeight="1"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 ht="15.75" customHeight="1"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 ht="15.75" customHeight="1"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 ht="15.75" customHeight="1"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 ht="15.75" customHeight="1"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 ht="15.75" customHeight="1"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 ht="15.75" customHeight="1"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 ht="15.75" customHeight="1"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 ht="15.75" customHeight="1"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 ht="15.75" customHeight="1"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 ht="15.75" customHeight="1"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 ht="15.75" customHeight="1"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 ht="15.75" customHeight="1"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 ht="15.75" customHeight="1"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 ht="15.75" customHeight="1"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 ht="15.75" customHeight="1"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 ht="15.75" customHeight="1"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 ht="15.75" customHeight="1"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 ht="15.75" customHeight="1"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 ht="15.75" customHeight="1"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 ht="15.75" customHeight="1"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 ht="15.75" customHeight="1"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 ht="15.75" customHeight="1"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 ht="15.75" customHeight="1"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 ht="15.75" customHeight="1"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 ht="15.75" customHeight="1"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 ht="15.75" customHeight="1"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 ht="15.75" customHeight="1"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 ht="15.75" customHeight="1"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 ht="15.75" customHeight="1"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 ht="15.75" customHeight="1"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 ht="15.75" customHeight="1"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 ht="15.75" customHeight="1"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 ht="15.75" customHeight="1"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 ht="15.75" customHeight="1"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 ht="15.75" customHeight="1"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 ht="15.75" customHeight="1"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 ht="15.75" customHeight="1"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 ht="15.75" customHeight="1"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 ht="15.75" customHeight="1"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 ht="15.75" customHeight="1"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 ht="15.75" customHeight="1"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 ht="15.75" customHeight="1"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 ht="15.75" customHeight="1"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 ht="15.75" customHeight="1"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 ht="15.75" customHeight="1"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  <row r="951" ht="15.75" customHeight="1"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</row>
    <row r="952" ht="15.75" customHeight="1"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</row>
    <row r="953" ht="15.75" customHeight="1"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</row>
    <row r="954" ht="15.75" customHeight="1"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</row>
    <row r="955" ht="15.75" customHeight="1"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</row>
    <row r="956" ht="15.75" customHeight="1"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</row>
    <row r="957" ht="15.75" customHeight="1"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 ht="15.75" customHeight="1"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</row>
    <row r="959" ht="15.75" customHeight="1"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</row>
    <row r="960" ht="15.75" customHeight="1"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</row>
    <row r="961" ht="15.75" customHeight="1"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</row>
    <row r="962" ht="15.75" customHeight="1"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</row>
    <row r="963" ht="15.75" customHeight="1"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</row>
    <row r="964" ht="15.75" customHeight="1"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</row>
    <row r="965" ht="15.75" customHeight="1"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</row>
    <row r="966" ht="15.75" customHeight="1"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</row>
    <row r="967" ht="15.75" customHeight="1"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</row>
    <row r="968" ht="15.75" customHeight="1"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</row>
    <row r="969" ht="15.75" customHeight="1"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</row>
    <row r="970" ht="15.75" customHeight="1"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</row>
    <row r="971" ht="15.75" customHeight="1"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</row>
    <row r="972" ht="15.75" customHeight="1"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</row>
    <row r="973" ht="15.75" customHeight="1"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</row>
    <row r="974" ht="15.75" customHeight="1"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</row>
    <row r="975" ht="15.75" customHeight="1"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</row>
    <row r="976" ht="15.75" customHeight="1"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</row>
    <row r="977" ht="15.75" customHeight="1"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</row>
    <row r="978" ht="15.75" customHeight="1"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</row>
    <row r="979" ht="15.75" customHeight="1"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</row>
    <row r="980" ht="15.75" customHeight="1"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</row>
    <row r="981" ht="15.75" customHeight="1"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</row>
    <row r="982" ht="15.75" customHeight="1"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</row>
    <row r="983" ht="15.75" customHeight="1"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</row>
    <row r="984" ht="15.75" customHeight="1"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</row>
    <row r="985" ht="15.75" customHeight="1"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</row>
    <row r="986" ht="15.75" customHeight="1"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</row>
    <row r="987" ht="15.75" customHeight="1"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</row>
    <row r="988" ht="15.75" customHeight="1"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</row>
    <row r="989" ht="15.75" customHeight="1"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</row>
    <row r="990" ht="15.75" customHeight="1"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</row>
    <row r="991" ht="15.75" customHeight="1"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</row>
    <row r="992" ht="15.75" customHeight="1"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</row>
    <row r="993" ht="15.75" customHeight="1"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</row>
    <row r="994" ht="15.75" customHeight="1"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</row>
    <row r="995" ht="15.75" customHeight="1"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</row>
    <row r="996" ht="15.75" customHeight="1"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</row>
    <row r="997" ht="15.75" customHeight="1"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</row>
    <row r="998" ht="15.75" customHeight="1"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</row>
    <row r="999" ht="15.75" customHeight="1"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</row>
    <row r="1000" ht="15.75" customHeight="1"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</row>
  </sheetData>
  <autoFilter ref="$A$1:$Q$1"/>
  <printOptions/>
  <pageMargins bottom="0.75" footer="0.0" header="0.0" left="0.7" right="0.7" top="0.75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13" width="8.71"/>
    <col customWidth="1" min="14" max="14" width="13.0"/>
    <col customWidth="1" min="15" max="26" width="8.71"/>
  </cols>
  <sheetData>
    <row r="1">
      <c r="A1" s="25"/>
      <c r="B1" s="26" t="s">
        <v>70</v>
      </c>
      <c r="C1" s="26" t="s">
        <v>71</v>
      </c>
      <c r="D1" s="26" t="s">
        <v>72</v>
      </c>
      <c r="E1" s="26" t="s">
        <v>73</v>
      </c>
      <c r="F1" s="26" t="s">
        <v>74</v>
      </c>
      <c r="G1" s="26" t="s">
        <v>75</v>
      </c>
      <c r="H1" s="26" t="s">
        <v>76</v>
      </c>
      <c r="I1" s="26" t="s">
        <v>77</v>
      </c>
      <c r="J1" s="26" t="s">
        <v>78</v>
      </c>
      <c r="K1" s="26" t="s">
        <v>79</v>
      </c>
      <c r="L1" s="26" t="s">
        <v>80</v>
      </c>
      <c r="M1" s="26" t="s">
        <v>81</v>
      </c>
      <c r="N1" s="27" t="s">
        <v>12</v>
      </c>
    </row>
    <row r="2">
      <c r="A2" s="28" t="s">
        <v>82</v>
      </c>
      <c r="B2" s="29">
        <v>461.0</v>
      </c>
      <c r="C2" s="30">
        <v>458.0</v>
      </c>
      <c r="D2" s="29">
        <v>499.0</v>
      </c>
      <c r="E2" s="29">
        <v>438.0</v>
      </c>
      <c r="F2" s="29">
        <v>467.0</v>
      </c>
      <c r="G2" s="29">
        <v>435.0</v>
      </c>
      <c r="H2" s="29"/>
      <c r="I2" s="29"/>
      <c r="J2" s="29"/>
      <c r="K2" s="29"/>
      <c r="L2" s="29"/>
      <c r="M2" s="29"/>
      <c r="N2" s="31">
        <f t="shared" ref="N2:N19" si="1">SUM(B2:M2)</f>
        <v>2758</v>
      </c>
    </row>
    <row r="3">
      <c r="A3" s="28" t="s">
        <v>83</v>
      </c>
      <c r="B3" s="29">
        <v>203.0</v>
      </c>
      <c r="C3" s="32">
        <v>166.0</v>
      </c>
      <c r="D3" s="29">
        <v>137.0</v>
      </c>
      <c r="E3" s="29">
        <v>129.0</v>
      </c>
      <c r="F3" s="29">
        <v>145.0</v>
      </c>
      <c r="G3" s="29">
        <v>181.0</v>
      </c>
      <c r="H3" s="29"/>
      <c r="I3" s="29"/>
      <c r="J3" s="29"/>
      <c r="K3" s="29"/>
      <c r="L3" s="29"/>
      <c r="M3" s="29"/>
      <c r="N3" s="31">
        <f t="shared" si="1"/>
        <v>961</v>
      </c>
    </row>
    <row r="4">
      <c r="A4" s="28" t="s">
        <v>84</v>
      </c>
      <c r="B4" s="29">
        <v>24.0</v>
      </c>
      <c r="C4" s="32">
        <v>24.0</v>
      </c>
      <c r="D4" s="29">
        <v>40.0</v>
      </c>
      <c r="E4" s="29">
        <v>29.0</v>
      </c>
      <c r="F4" s="29">
        <v>32.0</v>
      </c>
      <c r="G4" s="29">
        <v>6.0</v>
      </c>
      <c r="H4" s="29"/>
      <c r="I4" s="29"/>
      <c r="J4" s="29"/>
      <c r="K4" s="29"/>
      <c r="L4" s="29"/>
      <c r="M4" s="29"/>
      <c r="N4" s="31">
        <f t="shared" si="1"/>
        <v>155</v>
      </c>
    </row>
    <row r="5">
      <c r="A5" s="28" t="s">
        <v>85</v>
      </c>
      <c r="B5" s="29">
        <v>234.0</v>
      </c>
      <c r="C5" s="32">
        <v>242.0</v>
      </c>
      <c r="D5" s="29">
        <v>299.0</v>
      </c>
      <c r="E5" s="29">
        <v>271.0</v>
      </c>
      <c r="F5" s="29">
        <v>270.0</v>
      </c>
      <c r="G5" s="29">
        <v>223.0</v>
      </c>
      <c r="H5" s="29"/>
      <c r="I5" s="29"/>
      <c r="J5" s="29"/>
      <c r="K5" s="29"/>
      <c r="L5" s="29"/>
      <c r="M5" s="29"/>
      <c r="N5" s="31">
        <f t="shared" si="1"/>
        <v>1539</v>
      </c>
    </row>
    <row r="6">
      <c r="A6" s="28" t="s">
        <v>86</v>
      </c>
      <c r="B6" s="29">
        <v>316.0</v>
      </c>
      <c r="C6" s="32">
        <v>314.0</v>
      </c>
      <c r="D6" s="29">
        <v>398.0</v>
      </c>
      <c r="E6" s="29">
        <v>340.0</v>
      </c>
      <c r="F6" s="29">
        <v>367.0</v>
      </c>
      <c r="G6" s="29">
        <v>292.0</v>
      </c>
      <c r="H6" s="29"/>
      <c r="I6" s="29"/>
      <c r="J6" s="29"/>
      <c r="K6" s="29"/>
      <c r="L6" s="29"/>
      <c r="M6" s="29"/>
      <c r="N6" s="31">
        <f t="shared" si="1"/>
        <v>2027</v>
      </c>
    </row>
    <row r="7">
      <c r="A7" s="28" t="s">
        <v>87</v>
      </c>
      <c r="B7" s="29">
        <v>145.0</v>
      </c>
      <c r="C7" s="32">
        <v>144.0</v>
      </c>
      <c r="D7" s="29">
        <v>101.0</v>
      </c>
      <c r="E7" s="29">
        <v>98.0</v>
      </c>
      <c r="F7" s="29">
        <v>100.0</v>
      </c>
      <c r="G7" s="29">
        <v>143.0</v>
      </c>
      <c r="H7" s="29"/>
      <c r="I7" s="29"/>
      <c r="J7" s="29"/>
      <c r="K7" s="29"/>
      <c r="L7" s="29"/>
      <c r="M7" s="29"/>
      <c r="N7" s="31">
        <f t="shared" si="1"/>
        <v>731</v>
      </c>
    </row>
    <row r="8">
      <c r="A8" s="33" t="s">
        <v>88</v>
      </c>
      <c r="B8" s="29">
        <v>152.0</v>
      </c>
      <c r="C8" s="32">
        <v>128.0</v>
      </c>
      <c r="D8" s="29">
        <v>173.0</v>
      </c>
      <c r="E8" s="29">
        <v>241.0</v>
      </c>
      <c r="F8" s="29">
        <v>182.0</v>
      </c>
      <c r="G8" s="29">
        <v>169.0</v>
      </c>
      <c r="H8" s="29"/>
      <c r="I8" s="29"/>
      <c r="J8" s="29"/>
      <c r="K8" s="29"/>
      <c r="L8" s="29"/>
      <c r="M8" s="29"/>
      <c r="N8" s="31">
        <f t="shared" si="1"/>
        <v>1045</v>
      </c>
    </row>
    <row r="9">
      <c r="A9" s="33" t="s">
        <v>83</v>
      </c>
      <c r="B9" s="29">
        <v>59.0</v>
      </c>
      <c r="C9" s="32">
        <v>35.0</v>
      </c>
      <c r="D9" s="29">
        <v>84.0</v>
      </c>
      <c r="E9" s="29">
        <v>43.0</v>
      </c>
      <c r="F9" s="29">
        <v>42.0</v>
      </c>
      <c r="G9" s="29">
        <v>60.0</v>
      </c>
      <c r="H9" s="29"/>
      <c r="I9" s="29"/>
      <c r="J9" s="29"/>
      <c r="K9" s="29"/>
      <c r="L9" s="29"/>
      <c r="M9" s="29"/>
      <c r="N9" s="31">
        <f t="shared" si="1"/>
        <v>323</v>
      </c>
    </row>
    <row r="10">
      <c r="A10" s="33" t="s">
        <v>84</v>
      </c>
      <c r="B10" s="29">
        <v>0.0</v>
      </c>
      <c r="C10" s="32">
        <v>0.0</v>
      </c>
      <c r="D10" s="29">
        <v>7.0</v>
      </c>
      <c r="E10" s="29">
        <v>26.0</v>
      </c>
      <c r="F10" s="29">
        <v>20.0</v>
      </c>
      <c r="G10" s="29">
        <v>31.0</v>
      </c>
      <c r="H10" s="29"/>
      <c r="I10" s="29"/>
      <c r="J10" s="29"/>
      <c r="K10" s="29"/>
      <c r="L10" s="29"/>
      <c r="M10" s="29"/>
      <c r="N10" s="31">
        <f t="shared" si="1"/>
        <v>84</v>
      </c>
    </row>
    <row r="11">
      <c r="A11" s="33" t="s">
        <v>85</v>
      </c>
      <c r="B11" s="29">
        <v>103.0</v>
      </c>
      <c r="C11" s="32">
        <v>75.0</v>
      </c>
      <c r="D11" s="29">
        <v>82.0</v>
      </c>
      <c r="E11" s="29">
        <v>152.0</v>
      </c>
      <c r="F11" s="29">
        <v>120.0</v>
      </c>
      <c r="G11" s="29">
        <v>71.0</v>
      </c>
      <c r="H11" s="29"/>
      <c r="I11" s="29"/>
      <c r="J11" s="29"/>
      <c r="K11" s="29"/>
      <c r="L11" s="29"/>
      <c r="M11" s="29"/>
      <c r="N11" s="31">
        <f t="shared" si="1"/>
        <v>603</v>
      </c>
    </row>
    <row r="12">
      <c r="A12" s="33" t="s">
        <v>86</v>
      </c>
      <c r="B12" s="29">
        <v>113.0</v>
      </c>
      <c r="C12" s="32">
        <v>109.0</v>
      </c>
      <c r="D12" s="29">
        <v>113.0</v>
      </c>
      <c r="E12" s="29">
        <v>172.0</v>
      </c>
      <c r="F12" s="29">
        <v>117.0</v>
      </c>
      <c r="G12" s="29">
        <v>110.0</v>
      </c>
      <c r="H12" s="29"/>
      <c r="I12" s="29"/>
      <c r="J12" s="29"/>
      <c r="K12" s="29"/>
      <c r="L12" s="29"/>
      <c r="M12" s="29"/>
      <c r="N12" s="31">
        <f t="shared" si="1"/>
        <v>734</v>
      </c>
    </row>
    <row r="13">
      <c r="A13" s="33" t="s">
        <v>87</v>
      </c>
      <c r="B13" s="29">
        <v>39.0</v>
      </c>
      <c r="C13" s="32">
        <v>19.0</v>
      </c>
      <c r="D13" s="29">
        <v>60.0</v>
      </c>
      <c r="E13" s="29">
        <v>69.0</v>
      </c>
      <c r="F13" s="29">
        <v>65.0</v>
      </c>
      <c r="G13" s="29">
        <v>59.0</v>
      </c>
      <c r="H13" s="29"/>
      <c r="I13" s="29"/>
      <c r="J13" s="29"/>
      <c r="K13" s="29"/>
      <c r="L13" s="29"/>
      <c r="M13" s="29"/>
      <c r="N13" s="31">
        <f t="shared" si="1"/>
        <v>311</v>
      </c>
    </row>
    <row r="14">
      <c r="A14" s="34" t="s">
        <v>89</v>
      </c>
      <c r="B14" s="29">
        <v>195.0</v>
      </c>
      <c r="C14" s="32">
        <v>181.0</v>
      </c>
      <c r="D14" s="29">
        <v>232.0</v>
      </c>
      <c r="E14" s="29">
        <v>239.0</v>
      </c>
      <c r="F14" s="29">
        <v>311.0</v>
      </c>
      <c r="G14" s="29">
        <v>228.0</v>
      </c>
      <c r="H14" s="29"/>
      <c r="I14" s="29"/>
      <c r="J14" s="29"/>
      <c r="K14" s="29"/>
      <c r="L14" s="29"/>
      <c r="M14" s="29"/>
      <c r="N14" s="31">
        <f t="shared" si="1"/>
        <v>1386</v>
      </c>
    </row>
    <row r="15">
      <c r="A15" s="34" t="s">
        <v>83</v>
      </c>
      <c r="B15" s="29">
        <v>65.0</v>
      </c>
      <c r="C15" s="32">
        <v>64.0</v>
      </c>
      <c r="D15" s="29">
        <v>68.0</v>
      </c>
      <c r="E15" s="29">
        <v>40.0</v>
      </c>
      <c r="F15" s="29">
        <v>43.0</v>
      </c>
      <c r="G15" s="29">
        <v>57.0</v>
      </c>
      <c r="H15" s="29"/>
      <c r="I15" s="29"/>
      <c r="J15" s="29"/>
      <c r="K15" s="29"/>
      <c r="L15" s="29"/>
      <c r="M15" s="29"/>
      <c r="N15" s="31">
        <f t="shared" si="1"/>
        <v>337</v>
      </c>
    </row>
    <row r="16">
      <c r="A16" s="34" t="s">
        <v>84</v>
      </c>
      <c r="B16" s="29">
        <v>3.0</v>
      </c>
      <c r="C16" s="32">
        <v>2.0</v>
      </c>
      <c r="D16" s="29">
        <v>0.0</v>
      </c>
      <c r="E16" s="29">
        <v>2.0</v>
      </c>
      <c r="F16" s="29">
        <v>16.0</v>
      </c>
      <c r="G16" s="29">
        <v>8.0</v>
      </c>
      <c r="H16" s="29"/>
      <c r="I16" s="29"/>
      <c r="J16" s="29"/>
      <c r="K16" s="29"/>
      <c r="L16" s="29"/>
      <c r="M16" s="29"/>
      <c r="N16" s="31">
        <f t="shared" si="1"/>
        <v>31</v>
      </c>
    </row>
    <row r="17">
      <c r="A17" s="34" t="s">
        <v>85</v>
      </c>
      <c r="B17" s="29">
        <v>127.0</v>
      </c>
      <c r="C17" s="32">
        <v>110.0</v>
      </c>
      <c r="D17" s="29">
        <v>135.0</v>
      </c>
      <c r="E17" s="29">
        <v>196.0</v>
      </c>
      <c r="F17" s="29">
        <v>231.0</v>
      </c>
      <c r="G17" s="29">
        <v>153.0</v>
      </c>
      <c r="H17" s="29"/>
      <c r="I17" s="29"/>
      <c r="J17" s="29"/>
      <c r="K17" s="29"/>
      <c r="L17" s="29"/>
      <c r="M17" s="29"/>
      <c r="N17" s="31">
        <f t="shared" si="1"/>
        <v>952</v>
      </c>
    </row>
    <row r="18">
      <c r="A18" s="34" t="s">
        <v>86</v>
      </c>
      <c r="B18" s="29">
        <v>151.0</v>
      </c>
      <c r="C18" s="32">
        <v>155.0</v>
      </c>
      <c r="D18" s="29">
        <v>169.0</v>
      </c>
      <c r="E18" s="29">
        <v>194.0</v>
      </c>
      <c r="F18" s="29">
        <v>246.0</v>
      </c>
      <c r="G18" s="29">
        <v>149.0</v>
      </c>
      <c r="H18" s="29"/>
      <c r="I18" s="29"/>
      <c r="J18" s="29"/>
      <c r="K18" s="29"/>
      <c r="L18" s="29"/>
      <c r="M18" s="29"/>
      <c r="N18" s="31">
        <f t="shared" si="1"/>
        <v>1064</v>
      </c>
    </row>
    <row r="19">
      <c r="A19" s="34" t="s">
        <v>87</v>
      </c>
      <c r="B19" s="29">
        <v>44.0</v>
      </c>
      <c r="C19" s="32">
        <v>26.0</v>
      </c>
      <c r="D19" s="29">
        <v>63.0</v>
      </c>
      <c r="E19" s="29">
        <v>45.0</v>
      </c>
      <c r="F19" s="29">
        <v>65.0</v>
      </c>
      <c r="G19" s="29">
        <v>79.0</v>
      </c>
      <c r="H19" s="29"/>
      <c r="I19" s="29"/>
      <c r="J19" s="29"/>
      <c r="K19" s="29"/>
      <c r="L19" s="29"/>
      <c r="M19" s="29"/>
      <c r="N19" s="31">
        <f t="shared" si="1"/>
        <v>322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N$19"/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4.14"/>
    <col customWidth="1" min="2" max="2" width="16.71"/>
    <col customWidth="1" min="3" max="3" width="13.14"/>
    <col customWidth="1" min="4" max="4" width="14.43"/>
    <col customWidth="1" min="5" max="5" width="14.14"/>
    <col customWidth="1" min="6" max="6" width="13.71"/>
    <col customWidth="1" min="7" max="7" width="14.57"/>
    <col customWidth="1" min="8" max="8" width="13.71"/>
    <col customWidth="1" min="9" max="9" width="12.57"/>
    <col customWidth="1" min="10" max="10" width="14.86"/>
    <col customWidth="1" min="11" max="12" width="17.43"/>
    <col customWidth="1" min="13" max="13" width="14.86"/>
    <col customWidth="1" min="14" max="26" width="9.0"/>
  </cols>
  <sheetData>
    <row r="1">
      <c r="A1" s="1"/>
      <c r="B1" s="2" t="s">
        <v>0</v>
      </c>
      <c r="C1" s="2" t="s">
        <v>1</v>
      </c>
      <c r="D1" s="2" t="s">
        <v>90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>
      <c r="A2" s="35" t="s">
        <v>91</v>
      </c>
      <c r="B2" s="36">
        <v>0.0</v>
      </c>
      <c r="C2" s="36">
        <v>0.0</v>
      </c>
      <c r="D2" s="36">
        <v>5.0</v>
      </c>
      <c r="E2" s="36">
        <v>6.0</v>
      </c>
      <c r="F2" s="36">
        <v>6.0</v>
      </c>
      <c r="G2" s="36">
        <v>10.0</v>
      </c>
      <c r="H2" s="36">
        <v>10.0</v>
      </c>
      <c r="I2" s="36"/>
      <c r="J2" s="36"/>
      <c r="K2" s="37"/>
      <c r="L2" s="36"/>
      <c r="M2" s="36">
        <v>0.0</v>
      </c>
    </row>
    <row r="3">
      <c r="A3" s="38" t="s">
        <v>92</v>
      </c>
      <c r="B3" s="36">
        <v>0.0</v>
      </c>
      <c r="C3" s="36">
        <v>1.0</v>
      </c>
      <c r="D3" s="36">
        <v>1.0</v>
      </c>
      <c r="E3" s="36">
        <v>1.0</v>
      </c>
      <c r="F3" s="36">
        <v>2.0</v>
      </c>
      <c r="G3" s="36">
        <v>3.0</v>
      </c>
      <c r="H3" s="36">
        <v>3.0</v>
      </c>
      <c r="I3" s="36"/>
      <c r="J3" s="36"/>
      <c r="K3" s="36"/>
      <c r="L3" s="36"/>
      <c r="M3" s="36">
        <v>0.0</v>
      </c>
    </row>
    <row r="4">
      <c r="A4" s="38" t="s">
        <v>93</v>
      </c>
      <c r="B4" s="36">
        <v>0.0</v>
      </c>
      <c r="C4" s="36">
        <v>0.0</v>
      </c>
      <c r="D4" s="36">
        <v>2.0</v>
      </c>
      <c r="E4" s="36">
        <v>3.0</v>
      </c>
      <c r="F4" s="36">
        <v>2.0</v>
      </c>
      <c r="G4" s="36">
        <v>2.0</v>
      </c>
      <c r="H4" s="36">
        <v>2.0</v>
      </c>
      <c r="I4" s="36"/>
      <c r="J4" s="36"/>
      <c r="K4" s="36"/>
      <c r="L4" s="36"/>
      <c r="M4" s="36">
        <v>0.0</v>
      </c>
    </row>
    <row r="5">
      <c r="A5" s="38" t="s">
        <v>94</v>
      </c>
      <c r="B5" s="36">
        <v>0.0</v>
      </c>
      <c r="C5" s="36">
        <v>0.0</v>
      </c>
      <c r="D5" s="36">
        <v>0.0</v>
      </c>
      <c r="E5" s="36">
        <v>0.0</v>
      </c>
      <c r="F5" s="36">
        <v>0.0</v>
      </c>
      <c r="G5" s="36">
        <v>2.0</v>
      </c>
      <c r="H5" s="36">
        <v>2.0</v>
      </c>
      <c r="I5" s="36"/>
      <c r="J5" s="36"/>
      <c r="K5" s="36"/>
      <c r="L5" s="36"/>
      <c r="M5" s="36">
        <v>0.0</v>
      </c>
    </row>
    <row r="6">
      <c r="A6" s="38" t="s">
        <v>95</v>
      </c>
      <c r="B6" s="36">
        <v>0.0</v>
      </c>
      <c r="C6" s="36">
        <v>0.0</v>
      </c>
      <c r="D6" s="36">
        <v>2.0</v>
      </c>
      <c r="E6" s="36">
        <v>2.0</v>
      </c>
      <c r="F6" s="36">
        <v>2.0</v>
      </c>
      <c r="G6" s="36">
        <v>3.0</v>
      </c>
      <c r="H6" s="36">
        <v>3.0</v>
      </c>
      <c r="I6" s="36"/>
      <c r="J6" s="36"/>
      <c r="K6" s="36"/>
      <c r="L6" s="36"/>
      <c r="M6" s="36">
        <v>0.0</v>
      </c>
    </row>
    <row r="7">
      <c r="A7" s="38" t="s">
        <v>96</v>
      </c>
      <c r="B7" s="36">
        <v>0.0</v>
      </c>
      <c r="C7" s="36">
        <v>0.0</v>
      </c>
      <c r="D7" s="36">
        <v>0.0</v>
      </c>
      <c r="E7" s="36">
        <v>0.0</v>
      </c>
      <c r="F7" s="36">
        <v>0.0</v>
      </c>
      <c r="G7" s="36">
        <v>0.0</v>
      </c>
      <c r="H7" s="36">
        <v>0.0</v>
      </c>
      <c r="I7" s="36"/>
      <c r="J7" s="36"/>
      <c r="K7" s="36"/>
      <c r="L7" s="36"/>
      <c r="M7" s="36">
        <v>0.0</v>
      </c>
    </row>
    <row r="8">
      <c r="B8" s="20"/>
      <c r="C8" s="20"/>
      <c r="D8" s="20"/>
      <c r="E8" s="20"/>
      <c r="F8" s="20"/>
      <c r="G8" s="20"/>
    </row>
    <row r="10">
      <c r="C10" s="3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B$12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2015-06-05T18:17:00Z</dcterms:created>
  <dc:creator>Felipe Mariotto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9e9a456-2778-4ca9-be06-1190b1e1118a_Enabled">
    <vt:lpwstr>true</vt:lpwstr>
  </property>
  <property fmtid="{D5CDD505-2E9C-101B-9397-08002B2CF9AE}" pid="3" name="MSIP_Label_09e9a456-2778-4ca9-be06-1190b1e1118a_SetDate">
    <vt:lpwstr>2023-11-22T14:35:15Z</vt:lpwstr>
  </property>
  <property fmtid="{D5CDD505-2E9C-101B-9397-08002B2CF9AE}" pid="4" name="MSIP_Label_09e9a456-2778-4ca9-be06-1190b1e1118a_Method">
    <vt:lpwstr>Standard</vt:lpwstr>
  </property>
  <property fmtid="{D5CDD505-2E9C-101B-9397-08002B2CF9AE}" pid="5" name="MSIP_Label_09e9a456-2778-4ca9-be06-1190b1e1118a_Name">
    <vt:lpwstr>D3</vt:lpwstr>
  </property>
  <property fmtid="{D5CDD505-2E9C-101B-9397-08002B2CF9AE}" pid="6" name="MSIP_Label_09e9a456-2778-4ca9-be06-1190b1e1118a_SiteId">
    <vt:lpwstr>658ba197-6c73-4fea-91bd-1c7d8de6bf2c</vt:lpwstr>
  </property>
  <property fmtid="{D5CDD505-2E9C-101B-9397-08002B2CF9AE}" pid="7" name="MSIP_Label_09e9a456-2778-4ca9-be06-1190b1e1118a_ActionId">
    <vt:lpwstr>bdb2bf0a-4719-4428-9a39-e59ab4a81377</vt:lpwstr>
  </property>
  <property fmtid="{D5CDD505-2E9C-101B-9397-08002B2CF9AE}" pid="8" name="MSIP_Label_09e9a456-2778-4ca9-be06-1190b1e1118a_ContentBits">
    <vt:lpwstr>0</vt:lpwstr>
  </property>
  <property fmtid="{D5CDD505-2E9C-101B-9397-08002B2CF9AE}" pid="9" name="ICV">
    <vt:lpwstr>D9684A54BBB44933A79652C82EA499DF_12</vt:lpwstr>
  </property>
  <property fmtid="{D5CDD505-2E9C-101B-9397-08002B2CF9AE}" pid="10" name="KSOProductBuildVer">
    <vt:lpwstr>1046-12.2.0.17119</vt:lpwstr>
  </property>
  <property fmtid="{D5CDD505-2E9C-101B-9397-08002B2CF9AE}" pid="11" name="ContentTypeId">
    <vt:lpwstr>0x01010012ADA46023A5AF47A11DC1429F24AF8F</vt:lpwstr>
  </property>
  <property fmtid="{D5CDD505-2E9C-101B-9397-08002B2CF9AE}" pid="12" name="MediaServiceImageTags">
    <vt:lpwstr/>
  </property>
</Properties>
</file>